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b8143cda2444b92/AI-Workspace/Investment Criteria Scraper/ICS Code Base/data/"/>
    </mc:Choice>
  </mc:AlternateContent>
  <xr:revisionPtr revIDLastSave="88" documentId="11_2843CB77A91F09102081D72ADF871D3AE093CC7E" xr6:coauthVersionLast="47" xr6:coauthVersionMax="47" xr10:uidLastSave="{A0D925BD-6325-409C-A7E3-6FC04FA78DA7}"/>
  <bookViews>
    <workbookView xWindow="-31755" yWindow="2385" windowWidth="26445" windowHeight="17340" activeTab="1" xr2:uid="{00000000-000D-0000-FFFF-FFFF00000000}"/>
  </bookViews>
  <sheets>
    <sheet name="Firms" sheetId="1" r:id="rId1"/>
    <sheet name="Sheet2" sheetId="4" r:id="rId2"/>
    <sheet name="Sheet1" sheetId="3" r:id="rId3"/>
    <sheet name="Summary" sheetId="2" r:id="rId4"/>
  </sheets>
  <definedNames>
    <definedName name="_xlnm._FilterDatabase" localSheetId="0" hidden="1">Firms!$A$1:$AC$473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57" i="1" l="1"/>
  <c r="AD456" i="1"/>
  <c r="AD455" i="1"/>
  <c r="AD443" i="1"/>
  <c r="AD425" i="1"/>
  <c r="AD410" i="1"/>
  <c r="AD401" i="1"/>
  <c r="AD392" i="1"/>
  <c r="AD390" i="1"/>
  <c r="AD373" i="1"/>
  <c r="AD366" i="1"/>
  <c r="AD357" i="1"/>
  <c r="AD318" i="1"/>
  <c r="AD311" i="1"/>
  <c r="AD294" i="1"/>
  <c r="AD288" i="1"/>
  <c r="AD283" i="1"/>
  <c r="AD258" i="1"/>
  <c r="AD235" i="1"/>
  <c r="AD220" i="1"/>
  <c r="AD206" i="1"/>
  <c r="AD190" i="1"/>
  <c r="AD185" i="1"/>
  <c r="AD175" i="1"/>
  <c r="AD169" i="1"/>
  <c r="AD158" i="1"/>
  <c r="AD150" i="1"/>
  <c r="AD123" i="1"/>
  <c r="AD114" i="1"/>
  <c r="AD113" i="1"/>
  <c r="AD106" i="1"/>
  <c r="AD101" i="1"/>
  <c r="AD98" i="1"/>
  <c r="AD80" i="1"/>
  <c r="AD73" i="1"/>
  <c r="AD65" i="1"/>
  <c r="AD61" i="1"/>
  <c r="AD60" i="1"/>
  <c r="AD49" i="1"/>
  <c r="AD47" i="1"/>
  <c r="AD40" i="1"/>
  <c r="AD39" i="1"/>
  <c r="AD36" i="1"/>
  <c r="AD22" i="1"/>
  <c r="AD20" i="1"/>
  <c r="AD19" i="1"/>
  <c r="AD15" i="1"/>
  <c r="AD14" i="1"/>
  <c r="AD6" i="1"/>
  <c r="AD4"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2" i="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1" i="3"/>
</calcChain>
</file>

<file path=xl/sharedStrings.xml><?xml version="1.0" encoding="utf-8"?>
<sst xmlns="http://schemas.openxmlformats.org/spreadsheetml/2006/main" count="7647" uniqueCount="2149">
  <si>
    <t>Firm Name</t>
  </si>
  <si>
    <t>Type</t>
  </si>
  <si>
    <t>State</t>
  </si>
  <si>
    <t>City</t>
  </si>
  <si>
    <t>Website</t>
  </si>
  <si>
    <t>US Investments</t>
  </si>
  <si>
    <t>Revenue Min ($M)</t>
  </si>
  <si>
    <t>Revenue Max ($M)</t>
  </si>
  <si>
    <t>EBITDA Min ($M)</t>
  </si>
  <si>
    <t>EBITDA Max ($M)</t>
  </si>
  <si>
    <t>EV Min ($M)</t>
  </si>
  <si>
    <t>EV Max ($M)</t>
  </si>
  <si>
    <t>Check Min ($M)</t>
  </si>
  <si>
    <t>Check Max ($M)</t>
  </si>
  <si>
    <t>Deal Types</t>
  </si>
  <si>
    <t>Sector Tier 1</t>
  </si>
  <si>
    <t>Sector Tier 2</t>
  </si>
  <si>
    <t>Sector Tier 3</t>
  </si>
  <si>
    <t>Exclusions</t>
  </si>
  <si>
    <t>AUM ($M)</t>
  </si>
  <si>
    <t>Activity</t>
  </si>
  <si>
    <t>Last Deal</t>
  </si>
  <si>
    <t>Fund Name</t>
  </si>
  <si>
    <t>Confidence</t>
  </si>
  <si>
    <t>Needs Review</t>
  </si>
  <si>
    <t>Last Checked</t>
  </si>
  <si>
    <t>Status</t>
  </si>
  <si>
    <t>Notes</t>
  </si>
  <si>
    <t>26North Partners LP</t>
  </si>
  <si>
    <t>PE</t>
  </si>
  <si>
    <t>https://www.26n.com</t>
  </si>
  <si>
    <t>primarily</t>
  </si>
  <si>
    <t>Buyout</t>
  </si>
  <si>
    <t>Generalist, Technology</t>
  </si>
  <si>
    <t>5900.0</t>
  </si>
  <si>
    <t>Active</t>
  </si>
  <si>
    <t>2026-03-31</t>
  </si>
  <si>
    <t>26North Inaugural Private Equity Fund</t>
  </si>
  <si>
    <t>Medium</t>
  </si>
  <si>
    <t>No</t>
  </si>
  <si>
    <t>2026-06-07</t>
  </si>
  <si>
    <t>complete</t>
  </si>
  <si>
    <t>Seeded from CapIQ export. Numeric fields are regex first-pass — crawler will confirm. capiq_description preserved for AI extraction fallback. | [extractor] 26North Partners LP is a next-generation alternatives platform founded by Josh Harris, with strategies spanning private equity (buyouts), direct lending, investment grade alpha (credit), and insurance. Raised $5.9B for inaugural PE fund in April 2026, surpassing $4B target (Bloomberg headline references $6B). Most recent deal: acquisition of Intermedia (cloud communications firm), announced March 31, 2026. HQ city/state not confirmed from source pages. Sector focus is generalist with a notable technology deal (Intermedia). Press release PDF found: https://www.26n.com/~/media/Files/T/twentysix-north/Universal/news/26-north-raises-5-9-billion-for-inaugural-private-equity-fund-surpassing-4-billion-target.pdf — not parsed. Deal PDF found: https://www.26n.com/~/media/Files/T/twentysix-north/Universal/news/26-north-to-acquire-leading-cloud-communications-firm-intermedia.pdf — not parsed. No explicit investment criteria (revenue, EBITDA, check size, EV thresholds) found on site.</t>
  </si>
  <si>
    <t>4x4 Capital, LLC</t>
  </si>
  <si>
    <t>Other</t>
  </si>
  <si>
    <t>https://4x4capital.com</t>
  </si>
  <si>
    <t>Consumer</t>
  </si>
  <si>
    <t>Low</t>
  </si>
  <si>
    <t>Yes</t>
  </si>
  <si>
    <t>Seeded from CapIQ export. Numeric fields are regex first-pass — crawler will confirm. capiq_description preserved for AI extraction fallback. | [extractor] Strategy page provided contains only navigation menu and header HTML; no substantive investment criteria, fund details, deal types, sectors, or financial parameters are visible in the supplied content. Full page content appears truncated. Requires review of complete website pages (About, Portfolio, Team, News sections) or direct contact to extract investment criteria.</t>
  </si>
  <si>
    <t>A&amp;M Capital Advisors, LP</t>
  </si>
  <si>
    <t>CT</t>
  </si>
  <si>
    <t>Greenwich</t>
  </si>
  <si>
    <t>https://www.a-mcapital.com</t>
  </si>
  <si>
    <t>15.0</t>
  </si>
  <si>
    <t>100.0</t>
  </si>
  <si>
    <t>75.0</t>
  </si>
  <si>
    <t>750.0</t>
  </si>
  <si>
    <t>25.0</t>
  </si>
  <si>
    <t>200.0</t>
  </si>
  <si>
    <t>Buyout, Recap, Other</t>
  </si>
  <si>
    <t>Business Services, Healthcare, Industrials</t>
  </si>
  <si>
    <t>Financial Services, Consumer, Government Services</t>
  </si>
  <si>
    <t>High</t>
  </si>
  <si>
    <t>Seeded from CapIQ export. Numeric fields are regex first-pass — crawler will confirm. capiq_description preserved for AI extraction fallback. | [extractor] Multi-strategy PE firm with 4 distinct investment strategies (AMCP, AMCS, AMCE, AMCSI). Data extracted from primary investment criteria sections. AMCP flagship strategy: $3.0B AUM, $60-200M check size, $150-750M target EV, $20-100M EBITDA. AMCS secondaries: $25-75M initial checks, $100-500M EV, $15M+ underlying EBITDA. AMCE (Europe): €650M AUM (~$710M USD). AMCSI: $10-50M checks, $100M+ EV, $20M+ EBITDA. Total firm AUM stated as $5.9B. Transaction types include founder transitions, build-ups, corporate divestitures, public-to-privates, and special situations. Active investor with 170+ companies invested across 24 platforms since inception.</t>
  </si>
  <si>
    <t>AAVIN Private Equity Advisors</t>
  </si>
  <si>
    <t>IA</t>
  </si>
  <si>
    <t>Cedar Rapids</t>
  </si>
  <si>
    <t>https://www.aavin.com</t>
  </si>
  <si>
    <t>5.0</t>
  </si>
  <si>
    <t>50.0</t>
  </si>
  <si>
    <t>1.5</t>
  </si>
  <si>
    <t>Buyout, Recap</t>
  </si>
  <si>
    <t>Generalist</t>
  </si>
  <si>
    <t>330.0</t>
  </si>
  <si>
    <t>2022</t>
  </si>
  <si>
    <t>Seeded from CapIQ export. Numeric fields are regex first-pass — crawler will confirm. capiq_description preserved for AI extraction fallback. | [extractor] Explicit investment criteria found on website. Founded 1999, managing lower-middle market buyouts and recaps of founder/family-owned businesses. 50+ years of legacy (predecessor organizations). 300+ completed investments. Focus on underserved geographies in Middle America with particular emphasis on succession planning. SBIC licensee. No specific fund vintage or AUM disclosed. Portfolio and recent exits sections referenced but not detailed in source.</t>
  </si>
  <si>
    <t>AE Industrial Partners, LP</t>
  </si>
  <si>
    <t>FL</t>
  </si>
  <si>
    <t>Boca Raton</t>
  </si>
  <si>
    <t>https://www.aeroequity.com</t>
  </si>
  <si>
    <t>true</t>
  </si>
  <si>
    <t>Buyout, Minority</t>
  </si>
  <si>
    <t>Industrials, Technology</t>
  </si>
  <si>
    <t>2025-06-01</t>
  </si>
  <si>
    <t>Seeded from CapIQ export. Numeric fields are regex first-pass — crawler will confirm. capiq_description preserved for AI extraction fallback. | [extractor] AE Industrial Partners is a PE firm focused on aerospace, national security, and industrial services. Founded 2015. 30+ platform companies and 80+ minority/add-on investments completed. Two PDFs available but not parsed: 2025 Year In Review (https://www.aeroequity.com/wp-content/uploads/AE-Industrial-Partners-2025-Year-In-Review.pdf) and Fact Sheet April 2026 (https://www.aeroequity.com/wp-content/uploads/AE-Industrial-Fact-Sheet-April-2026.pdf). Also operates AE Ventures (early-stage tech) and AEI Aerospace Leasing. Additional office in Washington, D.C.</t>
  </si>
  <si>
    <t>AEA Investors LP</t>
  </si>
  <si>
    <t>https://www.aeainvestors.com</t>
  </si>
  <si>
    <t>Business Services, Consumer, Industrials</t>
  </si>
  <si>
    <t>18000.0</t>
  </si>
  <si>
    <t>Seeded from CapIQ export. Numeric fields are regex first-pass — crawler will confirm. capiq_description preserved for AI extraction fallback. | [extractor] AEA Investors LP is a multi-platform PE firm with four investment groups: Middle Market Private Equity, Enterprise, Elevate, and Private Debt. Pages provided show portfolio structure but no actual portfolio companies displayed (filter results empty). Firm focuses on backing founders/management teams and transforming/accelerating growth. Elevate specifically targets professional services with technology/AI. No HQ location, fund details, AUM, check sizes, or specific deal criteria found in provided content. Needs additional sources for complete criteria extraction.</t>
  </si>
  <si>
    <t>AFM Capital Partners, Inc.</t>
  </si>
  <si>
    <t>https://www.afmcap.com</t>
  </si>
  <si>
    <t>Industrials, Healthcare, Consumer</t>
  </si>
  <si>
    <t>Seeded from CapIQ export. Numeric fields are regex first-pass — crawler will confirm. capiq_description preserved for AI extraction fallback. | [extractor] Portfolio page accessed but contains only HTML/CSS boilerplate and schema markup. No investment criteria, fund details, or portfolio company information extracted. Page shows company name 'AFM Capital Partners' and tagline 'Building Great Companies for Long-term Success'. One portfolio company image reference: Incodema3D. Insufficient data to populate investment criteria. Recommend review of main website pages or criteria document.</t>
  </si>
  <si>
    <t>Abacus Global Management, Inc. (NYSE:ABX)</t>
  </si>
  <si>
    <t>https://abacusgm.com</t>
  </si>
  <si>
    <t>Financial Services</t>
  </si>
  <si>
    <t>3000.0</t>
  </si>
  <si>
    <t>Seeded from CapIQ export. Numeric fields are regex first-pass — crawler will confirm. capiq_description preserved for AI extraction fallback. | [extractor] Abacus Global Management (NYSE: ABX) is a publicly traded company, not a traditional PE/VC firm. Primary business is acquiring and managing life insurance policies as an alternative asset class via subsidiary Abacus Life Solutions. AUM of ~$3 billion stated on site. Operating in 49 states. Founded 2004. Over $10B in face value of policies purchased. 78 institutional investor partners. HQ city/state not confirmed from content provided. Firm type is closest to 'Other' as it is a publicly listed alternative asset manager focused on life settlements. Deal types do not map cleanly to standard PE/VC categories. Needs review due to non-standard firm classification and ambiguous investment criteria.</t>
  </si>
  <si>
    <t>Accel-KKR LLC</t>
  </si>
  <si>
    <t>CA</t>
  </si>
  <si>
    <t>Menlo Park</t>
  </si>
  <si>
    <t>https://www.accel-kkr.com</t>
  </si>
  <si>
    <t>Buyout, Growth Equity, Other</t>
  </si>
  <si>
    <t>Technology</t>
  </si>
  <si>
    <t>21000.0</t>
  </si>
  <si>
    <t>Seeded from CapIQ export. Numeric fields are regex first-pass — crawler will confirm. capiq_description preserved for AI extraction fallback. | [extractor] Accel-KKR is a PE specialist in mid-market software and tech-enabled services. Explicit investment criteria: company revenue up to $200M+, founder-owned or closely-held private companies, structures include buyouts, minority growth capital, corporate carveouts, take-privates, credit investments, and secondaries. Firm has made 500+ software investments over 25 years. Multiple office locations: Menlo Park (HQ), Atlanta, Chicago, London. No specific fund details, AUM, or minimum check size disclosed on the provided page.</t>
  </si>
  <si>
    <t>Acorn Growth Companies, LLC</t>
  </si>
  <si>
    <t>https://www.acorncapitalmanagement.com</t>
  </si>
  <si>
    <t>30.0</t>
  </si>
  <si>
    <t>Industrials, Business Services</t>
  </si>
  <si>
    <t>893.18</t>
  </si>
  <si>
    <t>Seeded from CapIQ export. Numeric fields are regex first-pass — crawler will confirm. capiq_description preserved for AI extraction fallback. | [extractor] Investment criteria page describes $30-200M range, strong financial performers, industry-focused opportunities in aerospace, defense, intelligence, and space markets. Firm appears to be Acorn Capital Management (not LLC). HQ location not provided on page. Last modified June 2024 indicates active status.</t>
  </si>
  <si>
    <t>Advent International, L.P.</t>
  </si>
  <si>
    <t>https://www.adventinternational.com</t>
  </si>
  <si>
    <t>Financial Services, Energy, Industrials</t>
  </si>
  <si>
    <t>Seeded from CapIQ export. Numeric fields are regex first-pass — crawler will confirm. capiq_description preserved for AI extraction fallback. | [extractor] Page is investment strategy landing page with minimal extractable criteria. Schema markup confirms Advent International is a PE firm with five core sectors mentioned but sector names not visible in provided content. No financial metrics, deal sizes, fund details, or HQ location found. Full strategy details likely behind accordions/expandable sections not fully rendered in source. Needs review of complete page HTML or additional sources.</t>
  </si>
  <si>
    <t>Afinitas, Inc.</t>
  </si>
  <si>
    <t>MO</t>
  </si>
  <si>
    <t>St. Louis</t>
  </si>
  <si>
    <t>https://www.afinitas.com</t>
  </si>
  <si>
    <t>Seeded from CapIQ export. Numeric fields are regex first-pass — crawler will confirm. capiq_description preserved for AI extraction fallback. | [extractor] Afinitas, Inc. is a manufacturer and distributor of precast concrete equipment, forming systems, and concrete accessories—not a PE/VC firm. The source page describes a commercial equipment company, not an investment fund. No investment criteria, deal types, fund information, or portfolio data present. This appears to be a data extraction error or misfiled company.</t>
  </si>
  <si>
    <t>Agellus Capital, LLC</t>
  </si>
  <si>
    <t>https://www.agellus.com</t>
  </si>
  <si>
    <t>2.0</t>
  </si>
  <si>
    <t>discretionaryconsumerservices</t>
  </si>
  <si>
    <t>400.0</t>
  </si>
  <si>
    <t>2026-03-01</t>
  </si>
  <si>
    <t>Fund I</t>
  </si>
  <si>
    <t>Seeded from CapIQ export. Numeric fields are regex first-pass — crawler will confirm. capiq_description preserved for AI extraction fallback. | [extractor] PE firm focused on essential, non-discretionary services. Platform target: $2-25M EBITDA; add-ons any size. Buy-and-build strategy with focus on fragmented markets. Three key verticals: B2B Services, Non-Discretionary Consumer Services, Supply Chain &amp; Infrastructure. Recent investments: Bluejack (Dec 2024), CompassMSP (Sept 2024), HighGrove (Nov 2025), Titan Restoration (Mar 2026). HQ location not explicitly stated on pages provided. Tearsheet PDF available: https://www.agellus.com/documents/FG/agellus/about/652199_Agellus_Tearsheet_-_Feb_2026_1.pdf</t>
  </si>
  <si>
    <t>Align Capital Partners, LP</t>
  </si>
  <si>
    <t>TX</t>
  </si>
  <si>
    <t>Dallas</t>
  </si>
  <si>
    <t>https://www.aligncp.com</t>
  </si>
  <si>
    <t>3.0</t>
  </si>
  <si>
    <t>150.0</t>
  </si>
  <si>
    <t>20.0</t>
  </si>
  <si>
    <t>60.0</t>
  </si>
  <si>
    <t>Technology, Business Services, Industrials</t>
  </si>
  <si>
    <t>2100.0</t>
  </si>
  <si>
    <t>2026-05-28</t>
  </si>
  <si>
    <t>Seeded from CapIQ export. Numeric fields are regex first-pass — crawler will confirm. capiq_description preserved for AI extraction fallback. | [extractor] Control-focused PE firm with offices in Cleveland and Dallas. Explicitly targets lower-middle market companies with 3-15mm EBITDA (or &gt;5mm ARR for software). Check sizes 20-60mm hold value. Core criteria: actionable organic growth, recurring revenue, niche leadership, 30%+ gross margins, 15%+ EBITDA margins. North America focus (primarily US). Recent deals through May 2026. PDF overview available at https://aligncp.com/wp-content/uploads/ACP-Firm-Overview.pdf</t>
  </si>
  <si>
    <t>Almanac Realty Investors, LLC</t>
  </si>
  <si>
    <t>https://www.almanacrealty.com</t>
  </si>
  <si>
    <t>Growth Equity, Minority</t>
  </si>
  <si>
    <t>Real Estate, Infrastructure</t>
  </si>
  <si>
    <t>6000.0</t>
  </si>
  <si>
    <t>Almanac Realty</t>
  </si>
  <si>
    <t>Seeded from CapIQ export. Numeric fields are regex first-pass — crawler will confirm. capiq_description preserved for AI extraction fallback. | [extractor] Almanac Realty is a real estate-focused investment platform under Neuberger Berman with $6B+ AUM. Two primary strategies: (1) Entity Level—growth capital investments in mid-sized real estate owners/operators; (2) GP Stakes—minority equity in real estate investment managers. Also manages Real Estate Secondaries ($25B commitments) and Real Estate Private Credit ($37.6B+ invested). 59 transactions since inception, 26 avg years IC experience. Operating since 1996. North American focus. HQ location not explicitly stated on page.</t>
  </si>
  <si>
    <t>Altaline Capital Management, LLC</t>
  </si>
  <si>
    <t>Los Angeles</t>
  </si>
  <si>
    <t>https://www.altaline.com</t>
  </si>
  <si>
    <t>Business Services, Technology, Financial Services</t>
  </si>
  <si>
    <t>2026</t>
  </si>
  <si>
    <t>Seeded from CapIQ export. Numeric fields are regex first-pass — crawler will confirm. capiq_description preserved for AI extraction fallback. | [extractor] Specialist PE firm focused on services sector transformation. Portfolio shows recent active investments (2025-2026) across tech-enabled services, business services, and financial services. Explicit focus areas documented on website covering vertical market software, essential services, and niche financial services. HQ: 1925 Century Park East, Suite 1700, Los Angeles, CA 90067. US-focused based on portfolio companies and stated service area focus.</t>
  </si>
  <si>
    <t>Altaris, LLC</t>
  </si>
  <si>
    <t>https://www.altariscap.com</t>
  </si>
  <si>
    <t>Healthcare</t>
  </si>
  <si>
    <t>9000.0</t>
  </si>
  <si>
    <t>Seeded from CapIQ export. Numeric fields are regex first-pass — crawler will confirm. capiq_description preserved for AI extraction fallback. | [extractor] Altaris is a healthcare-focused PE firm founded in 2003 with $9B+ AUM as of June 2025. Exclusively invests in healthcare industry across three subsectors: medical devices/diagnostics, pharmaceuticals/life sciences, and tech-enabled services. 11 active operating companies cited. Over 50 cumulative investments made. No specific investment size, revenue/EBITDA criteria, or HQ location disclosed on provided pages. US investments confirmed through portfolio companies (Minaris, Sharecare, Solesis).</t>
  </si>
  <si>
    <t>Amberjack Capital Partners, L.P.</t>
  </si>
  <si>
    <t>Texas</t>
  </si>
  <si>
    <t>Houston</t>
  </si>
  <si>
    <t>https://www.amberjackcapital.com</t>
  </si>
  <si>
    <t>4.0</t>
  </si>
  <si>
    <t>175.0</t>
  </si>
  <si>
    <t>Industrials, Infrastructure, Business Services</t>
  </si>
  <si>
    <t>1231.38</t>
  </si>
  <si>
    <t>Seeded from CapIQ export. Numeric fields are regex first-pass — crawler will confirm. capiq_description preserved for AI extraction fallback. | [extractor] Lower middle-market PE firm focused on critical infrastructure services and industrial end markets. Investment criteria explicitly stated: $4M–$20M target EBITDA, $20M–$175M typical platform enterprise value, $20M–$75M equity investment over life of investment. Conservative leverage approach. Portfolio page references active and realized investments but specific deal details not provided in source pages.</t>
  </si>
  <si>
    <t>Angeles Equity Partners, LLC</t>
  </si>
  <si>
    <t>https://www.angelesequity.com</t>
  </si>
  <si>
    <t>0</t>
  </si>
  <si>
    <t>40.0</t>
  </si>
  <si>
    <t>375.0</t>
  </si>
  <si>
    <t>1203.12</t>
  </si>
  <si>
    <t>2025-11-01</t>
  </si>
  <si>
    <t>Seeded from CapIQ export. Numeric fields are regex first-pass — crawler will confirm. capiq_description preserved for AI extraction fallback. | [extractor] Control equity PE firm focused on lower middle market industrial businesses. Invests in niche manufacturing, critical industrial services, and specialty distribution. 50%+ ownership required. EBITDA criteria spans unprofitable to $40M. Enterprise value up to $375M. Geography includes US &amp; Canada. Portfolio shows 16 current/exited investments from 2016–2025, demonstrating active deal flow. Most recent investment November 2025. Firm Overview PDF available: https://www.angelesequity.com/s/AEP-Overview-June-2026.pdf — not parsed. Fund details and exact AUM not disclosed on website.</t>
  </si>
  <si>
    <t>Antin Infrastructure Partners SAS (ENXTPA:ANTIN)</t>
  </si>
  <si>
    <t>https://www.antin-ip.com</t>
  </si>
  <si>
    <t>300.0</t>
  </si>
  <si>
    <t>Infrastructure, Energy</t>
  </si>
  <si>
    <t>39685.34</t>
  </si>
  <si>
    <t>Seeded from CapIQ export. Numeric fields are regex first-pass — crawler will confirm. capiq_description preserved for AI extraction fallback. | [extractor] Infrastructure PE firm based in France (ENXTPA listing ticker). Multiple fund strategies identified: Flagship, Mid Cap (€50m-300m check sizes), and NextGen. Mid Cap strategy explicitly targets Europe and North America across energy &amp; environment, digital, transport, and social infrastructure sectors. Check sizes converted from EUR to USD using mid-range approximation (€50m≈$54m, €300m≈$325m, presented as 50.0-300.0 reflecting EUR amounts). HQ city not explicitly stated in provided pages. No explicit AUM or recent deal dates found in source material.</t>
  </si>
  <si>
    <t>Apollo Global Management, Inc. (NYSE:APO)</t>
  </si>
  <si>
    <t>https://www.apollo.com/institutional/homepage</t>
  </si>
  <si>
    <t>Real Estate, Energy, Infrastructure</t>
  </si>
  <si>
    <t>938406.0</t>
  </si>
  <si>
    <t>2025-12-01</t>
  </si>
  <si>
    <t>Seeded from CapIQ export. Numeric fields are regex first-pass — crawler will confirm. capiq_description preserved for AI extraction fallback. | [extractor] Apollo Global Management (NYSE:APO) is a diversified asset manager with PE-focused Real Assets platform. Content confirms investment activity in Real Estate, Infrastructure (control-oriented acquisitions, corporate carveouts in mid-market North America/Europe), and Energy Transition/Renewable Energy. Recent deal noted: $6.5B commitment to Ørsted's Hornsea 3 (Dec 2025). Case studies show $565M InterPark mortgage (2021) and Project Helix NPL acquisition (2018). HQ city/state and specific AUM not provided in source. Confidence Medium due to lack of explicit fund-level details and investment criteria thresholds.</t>
  </si>
  <si>
    <t>Appian Way Capital Partners, LLC.</t>
  </si>
  <si>
    <t>https://www.appianwaycap.com</t>
  </si>
  <si>
    <t>10.0</t>
  </si>
  <si>
    <t>Buyout, Growth Equity</t>
  </si>
  <si>
    <t>Seeded from CapIQ export. Numeric fields are regex first-pass — crawler will confirm. capiq_description preserved for AI extraction fallback. | [extractor] Dallas-based PE firm with explicit investment criteria. Focus on Aerospace &amp; Defense, Manufacturing, and Distribution sectors. Targets US-based companies with $10-100M+ revenue and $2-10M+ EBITDA ($4-8M sweet spot). Invests $10-50M initially with capacity for larger checks. Prefers majority or meaningful minority stakes. Growth-focused with hands-on operational involvement; maintains 5-6 portfolio companies. Portfolio includes Gemco Manufacturing (A&amp;D precision parts) and Integrated Field Solutions (industrial automation). Copyright notice shows 2020 date but website appears current.</t>
  </si>
  <si>
    <t>Applied Real Intelligence LLC</t>
  </si>
  <si>
    <t>https://arivc.com</t>
  </si>
  <si>
    <t>Energy, Healthcare, Industrials</t>
  </si>
  <si>
    <t>Seeded from CapIQ export. Numeric fields are regex first-pass — crawler will confirm. capiq_description preserved for AI extraction fallback. | [extractor] Page content is primarily HTML/CSS boilerplate and JavaScript code. No investment criteria, fund details, or operational information could be extracted. The firm tagline 'You built it; A.R.I. helps you keep it' suggests post-acquisition services but firm type, geography, investment focus, and deal criteria remain unconfirmed. Full page content review needed or access to additional pages required.</t>
  </si>
  <si>
    <t>Ara Partners Group, LLC</t>
  </si>
  <si>
    <t>https://www.arapartners.com</t>
  </si>
  <si>
    <t>Energy, Industrials, Consumer</t>
  </si>
  <si>
    <t>6600.0</t>
  </si>
  <si>
    <t>Seeded from CapIQ export. Numeric fields are regex first-pass — crawler will confirm. capiq_description preserved for AI extraction fallback. | [extractor] Source page provided contains only HTML boilerplate, CSS, and structured metadata. No substantive investment criteria, fund details, or operational information present. Full website content not provided. Unable to extract any confirmable data.</t>
  </si>
  <si>
    <t>Arcapita Group Holdings Limited</t>
  </si>
  <si>
    <t>https://www.arcapita.com</t>
  </si>
  <si>
    <t>Real Estate, Business Services, Industrials</t>
  </si>
  <si>
    <t>Slowing</t>
  </si>
  <si>
    <t>Seeded from CapIQ export. Numeric fields are regex first-pass — crawler will confirm. capiq_description preserved for AI extraction fallback. | [extractor] Arcapita is an active PE investor with diversified portfolio across real estate (industrial logistics, rental housing, data centers), business services, and growth capital (fintech, AI). Significant US and global presence evidenced by active investments. Headquarters location not extracted from provided content. Check size, revenue criteria, and fund-specific details not available on this investments page.</t>
  </si>
  <si>
    <t>ArchiMed SAS</t>
  </si>
  <si>
    <t>https://www.archimed.group</t>
  </si>
  <si>
    <t>8676.79</t>
  </si>
  <si>
    <t>Seeded from CapIQ export. Numeric fields are regex first-pass — crawler will confirm. capiq_description preserved for AI extraction fallback. | [extractor] ArchiMed SAS is a French PE firm focused on healthcare industries (human, animal, environmental health). Only company portfolio page was provided with minimal criteria details. Missing: HQ location specifics, fund details, investment check sizes, revenue/EBITDA targets, deal types, and US investment focus. Needs review of main investment criteria page or fund documentation.</t>
  </si>
  <si>
    <t>Arcline Investment Management LP</t>
  </si>
  <si>
    <t>https://www.arcline.com</t>
  </si>
  <si>
    <t>Industrials, Technology, Healthcare</t>
  </si>
  <si>
    <t>30000.0</t>
  </si>
  <si>
    <t>Seeded from CapIQ export. Numeric fields are regex first-pass — crawler will confirm. capiq_description preserved for AI extraction fallback. | [extractor] Arcline is a growth-oriented PE firm with $30B AUM focused on building industrial platforms through acquisitions. Portfolio of 160+ acquisitions since 2018 across aerospace &amp; defense, engineered components, critical infrastructure, and test &amp; measurement. Mostly US-focused with some European holdings. Buyout/platform strategy with long-term compounding approach. HQ location not specified on page.</t>
  </si>
  <si>
    <t>Arkview Capital, L.P.</t>
  </si>
  <si>
    <t>Connecticut</t>
  </si>
  <si>
    <t>Stamford</t>
  </si>
  <si>
    <t>https://www.arkviewcapital.com</t>
  </si>
  <si>
    <t>Business Services, Industrials, Financial Services</t>
  </si>
  <si>
    <t>Seeded from CapIQ export. Numeric fields are regex first-pass — crawler will confirm. capiq_description preserved for AI extraction fallback. | [extractor] Arkview Capital founded 2020 by Vijay Mehta and two partners. Invests in overlooked, underutilized assets with focus on three sectors: essential businesses, transportation, and financial services. Demonstrated real estate portfolio (parking facilities) in major US metros (Philadelphia, San Diego, Dallas, New York, Memphis). Prior leadership experience in PE (TPG), investment banking (Morgan Stanley), and asset management (ZBI). All investments appear US-based. Confidence medium due to lack of explicit fund size, check size, EBITDA/revenue targets, or formal investment criteria documentation.</t>
  </si>
  <si>
    <t>Arlington Management Employees, LLC</t>
  </si>
  <si>
    <t>https://arlingtoncap.com</t>
  </si>
  <si>
    <t>Healthcare, Industrials, Consumer</t>
  </si>
  <si>
    <t>18194.6</t>
  </si>
  <si>
    <t>Seeded from CapIQ export. Numeric fields are regex first-pass — crawler will confirm. capiq_description preserved for AI extraction fallback. | [extractor] Firm name is Arlington Capital Partners (ACP), not Arlington Management Employees LLC as provided. Strategy page indicates PE investment focus on government-regulated industries with domain expertise. Minimal structured criteria data extracted from page source. Full investment criteria not visible in provided content. Requires additional source pages or documentation for complete data extraction.</t>
  </si>
  <si>
    <t>Arsenal Capital Management LP</t>
  </si>
  <si>
    <t>https://www.arsenalcapital.com</t>
  </si>
  <si>
    <t>9715.62</t>
  </si>
  <si>
    <t>Seeded from CapIQ export. Numeric fields are regex first-pass — crawler will confirm. capiq_description preserved for AI extraction fallback. | [extractor] Source page is a portfolio page for Arsenal Capital Management LP showing healthcare investments, but the provided content is primarily CSS/JavaScript code with no readable investment criteria, deal details, or firm information extracted. No headquarters location, fund details, investment size ranges, deal types, or other specific criteria could be confirmed. Requires review of actual firm website homepage or investment criteria documentation.</t>
  </si>
  <si>
    <t>Artemis Capital Partners Management Co., LLC</t>
  </si>
  <si>
    <t>MA</t>
  </si>
  <si>
    <t>Boston</t>
  </si>
  <si>
    <t>https://www.artemislp.com</t>
  </si>
  <si>
    <t>Seeded from CapIQ export. Numeric fields are regex first-pass — crawler will confirm. capiq_description preserved for AI extraction fallback. | [extractor] Boston-based PE firm focused on buying and building differentiated manufacturers of Industrial Tech. Explicit focus on control acquisitions (buyouts) of engineered product manufacturers with mission-critical applications. Portfolio includes companies in aerospace, life sciences, defense, and semiconductor sectors. Clear technology focus areas: analytical instruments, RF/microwave, testing &amp; measurement, thermal management, optics &amp; photonics, and diagnostics &amp; discovery. Portfolio shows active investments. No fund-level financial data (AUM, check size, vintage year) found on provided pages.</t>
  </si>
  <si>
    <t>Ashe Beach Companies</t>
  </si>
  <si>
    <t>Fundless Sponsor</t>
  </si>
  <si>
    <t>https://www.ashebeach.com</t>
  </si>
  <si>
    <t>Business Services</t>
  </si>
  <si>
    <t>Seeded from CapIQ export. Numeric fields are regex first-pass — crawler will confirm. capiq_description preserved for AI extraction fallback. | [extractor] Independent sponsor (fundless) focused on lower middle market B2B services buyouts. Revenue range $10M-$50M+, requires 15%+ EBITDA margin, asset light model with recurring revenue. Team led by Cliff Goins IV with 25+ years experience; affiliated with EG Collective network. HQ location not specified on website.</t>
  </si>
  <si>
    <t>Astira Capital Partners LP</t>
  </si>
  <si>
    <t>https://www.astiracp.com</t>
  </si>
  <si>
    <t>Financial Services, Technology, Business Services</t>
  </si>
  <si>
    <t>777.32</t>
  </si>
  <si>
    <t>2025</t>
  </si>
  <si>
    <t>Astira Capital Partners Fund I LP</t>
  </si>
  <si>
    <t>Seeded from CapIQ export. Numeric fields are regex first-pass — crawler will confirm. capiq_description preserved for AI extraction fallback. | [extractor] PE firm explicitly states 'Control Buyout or Significant Minority Growth Capital' investment strategy. Portfolio shows recent deals in 2024-2025 across Financial Services, MarTech, and related verticals. Sector focus: Financial Services &amp; FinTech, Government Services &amp; GovTech, Human Capital Management, IT Services, Marketing Services &amp; MarTech, Risk Management &amp; Compliance. Four portfolio companies identified (Numera, CallRevu, Altus, ConData). Headquarters location not explicitly stated on provided pages.</t>
  </si>
  <si>
    <t>Atlas FRM LLC</t>
  </si>
  <si>
    <t>https://www.atlasholdingsllc.com</t>
  </si>
  <si>
    <t>Buyout, Distressed</t>
  </si>
  <si>
    <t>Industrials, Business Services, Consumer</t>
  </si>
  <si>
    <t>18115.02</t>
  </si>
  <si>
    <t>Seeded from CapIQ export. Numeric fields are regex first-pass — crawler will confirm. capiq_description preserved for AI extraction fallback. | [extractor] Atlas Holdings LLC (not Atlas FRM LLC as specified in query—note name discrepancy). PE firm specializing in buyouts and complex distressed/restructuring situations. Invests in operating companies with operational/financial challenges across 12 specified industrial sectors. Has completed 300+ transactions including bankruptcies, carve-outs, restructurings. UK subsidiary Atlas FRM (UK) Limited noted. No HQ location, AUM, fund vintage, or check size data found. Activity appears active based on website. Confidence medium due to limited financial/fund-specific data. Needs review: firm name mismatch in query.</t>
  </si>
  <si>
    <t>Audax Management Company, LLC</t>
  </si>
  <si>
    <t>https://www.audaxprivateequity.com</t>
  </si>
  <si>
    <t>1000.0</t>
  </si>
  <si>
    <t>Business Services, Consumer, Healthcare</t>
  </si>
  <si>
    <t>Financial Services, Industrials, Technology</t>
  </si>
  <si>
    <t>19950.28</t>
  </si>
  <si>
    <t>Seeded from CapIQ export. Numeric fields are regex first-pass — crawler will confirm. capiq_description preserved for AI extraction fallback. | [extractor] Audax Private Equity firm with Flagship and Origins strategies. Buy &amp; Build approach targeting lower middle market. EBITDA range $5M-$100M, Enterprise Values up to $1B. Portfolio includes US/Canada HQ with operations across five continents. Sectors: Business Services, Consumer, Financial Services, Healthcare, Industrial Services &amp; Technologies, Software &amp; Technology. PDF fact sheet available but binary content not fully parsed.</t>
  </si>
  <si>
    <t>Aurelia Capital</t>
  </si>
  <si>
    <t>https://aureliacap.com</t>
  </si>
  <si>
    <t>3520.0</t>
  </si>
  <si>
    <t>Seeded from CapIQ export. Numeric fields are regex first-pass — crawler will confirm. capiq_description preserved for AI extraction fallback. | [extractor] Source page (https://aureliacap.com/about) contains only CSS/font declarations and no substantive investment criteria data. No firm information, fund details, investment thesis, or financial parameters could be extracted. Requires review of additional pages or documents to populate criteria.</t>
  </si>
  <si>
    <t>Aurora Capital Partners</t>
  </si>
  <si>
    <t>https://www.auroracap.com</t>
  </si>
  <si>
    <t>Energy, Industrials, Healthcare</t>
  </si>
  <si>
    <t>Seeded from CapIQ export. Numeric fields are regex first-pass — crawler will confirm. capiq_description preserved for AI extraction fallback. | [extractor] Source page contains only New Relic tracking and analytics code. No investment criteria, fund information, or business details visible. Page at https://www.auroracap.com/Strategy appears to be rendering dynamic content not captured in provided source.</t>
  </si>
  <si>
    <t>Author Capital Partners, LLC</t>
  </si>
  <si>
    <t>IL</t>
  </si>
  <si>
    <t>Chicago</t>
  </si>
  <si>
    <t>https://www.authorcapital.com</t>
  </si>
  <si>
    <t>Seeded from CapIQ export. Numeric fields are regex first-pass — crawler will confirm. capiq_description preserved for AI extraction fallback. | [extractor] Equity Investment check size $5M-$30M+, EBITDA $2M-$20M confirmed. Invests in US and Canada-based businesses with sustainable competitive advantages and recurring revenue. Focus on family and founder-led businesses with long-term growth prospects. Buy-and-build strategy employed. No fund-specific details, AUM, or recent deal dates found on provided pages.</t>
  </si>
  <si>
    <t>Avem Partners</t>
  </si>
  <si>
    <t>Southern California</t>
  </si>
  <si>
    <t>https://www.avempartners.com</t>
  </si>
  <si>
    <t>Industrials</t>
  </si>
  <si>
    <t>Seeded from CapIQ export. Numeric fields are regex first-pass — crawler will confirm. capiq_description preserved for AI extraction fallback. | [extractor] Avem Partners is a PE firm exclusively focused on aerospace/defense lower middle market companies in North America. Founded 2017. Investment criteria explicitly stated: $10-50M check size, $15-150M EV, $15-200M revenue, $3M+ EBITDA. Deal structure involves majority control, limited leverage. HQ stated as 'Southern California' but specific city/state not provided. Multiple realized investments listed (Spencer Aerospace, Synchronous Aerospace Group, Advent Aerospace, Aero Pacific, Drilltec, Resco, Alloy Processing); no unrealized investment details visible on provided pages.</t>
  </si>
  <si>
    <t>Avesi Partners, LLC.</t>
  </si>
  <si>
    <t>https://avesipartners.com</t>
  </si>
  <si>
    <t>Healthcare, Industrials</t>
  </si>
  <si>
    <t>3154.09</t>
  </si>
  <si>
    <t>Seeded from CapIQ export. Numeric fields are regex first-pass — crawler will confirm. capiq_description preserved for AI extraction fallback. | [extractor] Portfolio page accessed but contains only navigation structure and form code with no actual investment criteria, portfolio company details, or fund information. Page title indicates 'Current Investments' section exists but content not provided in source. Requires review of full website pages (About, Investment Approach) to extract criteria.</t>
  </si>
  <si>
    <t>Avista Capital Holdings, L.P.</t>
  </si>
  <si>
    <t>https://www.avistahealthcare.com</t>
  </si>
  <si>
    <t>6658.42</t>
  </si>
  <si>
    <t>Seeded from CapIQ export. Numeric fields are regex first-pass — crawler will confirm. capiq_description preserved for AI extraction fallback. | [extractor] Source page is Avista Healthcare (avistahealthcare.com), an 'Approach' page that only contains boilerplate HTML/CSS with no actual investment criteria, fund details, or portfolio information. Firm appears to be healthcare-focused PE based on URL and organization name, but insufficient data to confirm deal types, check sizes, AUM, or other material criteria. Full page content needed for accurate extraction.</t>
  </si>
  <si>
    <t>B-Flexion Advisors (UK) LLP</t>
  </si>
  <si>
    <t>Family Office</t>
  </si>
  <si>
    <t>Geneva</t>
  </si>
  <si>
    <t>https://www.bflexion.com/businesses/b-flexion-advisors-uk-llp</t>
  </si>
  <si>
    <t>Buyout, Other</t>
  </si>
  <si>
    <t>Healthcare, Technology, Real Estate</t>
  </si>
  <si>
    <t>2019</t>
  </si>
  <si>
    <t>Seeded from CapIQ export. Numeric fields are regex first-pass — crawler will confirm. capiq_description preserved for AI extraction fallback. | [extractor] B-FLEXION is a multi-generational family office founded by Ernesto Bertarelli (Serono pharmaceutical heir). Operates as an umbrella investment vehicle managing multiple asset managers (Kedge Capital, Crosstree Real Estate, Northill Capital, Forestay Capital, Gurnet Point Capital, Strategic Investment Group) and direct operating company holdings (Affidea, Stallergenes Greer, Campus Biotech). Primary sectors: Life Sciences, Healthcare Services, Digital Health, Real Estate, Technology. Has offices across Europe and US. Most recent verifiable deal activity: 2019 (Stallergenes Greer acquisition). Specific fund vehicles, AUM, and investment cheque sizes not disclosed on available pages.</t>
  </si>
  <si>
    <t>BIP Wealth, LLC</t>
  </si>
  <si>
    <t>https://bipwealth.com</t>
  </si>
  <si>
    <t>Financial Services, Healthcare, Consumer</t>
  </si>
  <si>
    <t>Seeded from CapIQ export. Numeric fields are regex first-pass — crawler will confirm. capiq_description preserved for AI extraction fallback. | [extractor] Source page appears to be a financial advisory website (Georgia Financial Advisors) with only technical code visible. No investment criteria, fund details, deal types, sectors, check sizes, AUM, or PE/VC-related information could be extracted. Page content is truncated and does not contain substantive business information. Firm may be a financial advisory service rather than PE/VC investor. Requires review of actual content.</t>
  </si>
  <si>
    <t>Bain Capital Double Impact</t>
  </si>
  <si>
    <t>https://www.baincapitaldoubleimpact.com</t>
  </si>
  <si>
    <t>2600.0</t>
  </si>
  <si>
    <t>Double Impact</t>
  </si>
  <si>
    <t>Seeded from CapIQ export. Numeric fields are regex first-pass — crawler will confirm. capiq_description preserved for AI extraction fallback. | [extractor] Bain Capital Double Impact is a PE fund focused on control buyouts ($50-200M+ check sizes) of mission-driven, growing companies with positive social and environmental impact. Founded 1984, headquartered Boston. Targets control opportunities. Impact documents available (OPIM Disclosure, BlueMark verification PDFs) but not parsed for additional criteria. No sector restrictions found; generalist focus on impact-aligned businesses.</t>
  </si>
  <si>
    <t>Bain Capital Private Equity, LP</t>
  </si>
  <si>
    <t>https://www.baincapitalprivateequity.com</t>
  </si>
  <si>
    <t>Financial Services, Real Estate, Energy</t>
  </si>
  <si>
    <t>Seeded from CapIQ export. Numeric fields are regex first-pass — crawler will confirm. capiq_description preserved for AI extraction fallback. | [extractor] Source page contained only HTML boilerplate and cookie policy elements; no substantive investment criteria, strategy, sector focus, or deal parameters were extractable. Full page content analysis required from actual strategy page content.</t>
  </si>
  <si>
    <t>Bain Capital, LP</t>
  </si>
  <si>
    <t>https://www.baincapital.com</t>
  </si>
  <si>
    <t>Buyout, Growth Equity, Venture</t>
  </si>
  <si>
    <t>215000.0</t>
  </si>
  <si>
    <t>Seeded from CapIQ export. Numeric fields are regex first-pass — crawler will confirm. capiq_description preserved for AI extraction fallback. | [extractor] Bain Capital is a diversified global investment firm with multiple platforms: Private Equity (Global PE, Double Impact, Insurance), Growth &amp; Venture (Ventures, Life Sciences, Tech Opportunities, Crypto), Capital Solutions (Special Situations), Credit, and Real Assets (Real Estate). Founded 1984, headquartered Boston. Recent deal activity confirmed (Asia Fund VI close June 2026, $10.5B raised). AUM figure listed as ~$0B on page (appears to be placeholder). Specific investment criteria, check sizes, and sector preferences not provided on this page. Multi-platform structure suggests Generalist approach. needs_review=true due to incomplete AUM data and lack of specific criteria details.</t>
  </si>
  <si>
    <t>Baird Capital</t>
  </si>
  <si>
    <t>https://www.bairdcapital.com</t>
  </si>
  <si>
    <t>1600.0</t>
  </si>
  <si>
    <t>2024-08-01</t>
  </si>
  <si>
    <t>Seeded from CapIQ export. Numeric fields are regex first-pass — crawler will confirm. capiq_description preserved for AI extraction fallback. | [extractor] Portfolio page confirms PE firm with $1.6B AUM, inception 1989, 40+ professionals. Diverse portfolio across multiple geographies (US, UK, Asia) and sectors suggests generalist approach. Last confirmed deal: BlackCloak (Aug 2024). HQ location not explicitly stated on this page. Venture Capital strategy also mentioned in navigation but no venture-specific portfolio details provided on this page. Needs review to clarify HQ location and confirm deal type mix.</t>
  </si>
  <si>
    <t>Balmoral Funds LLC</t>
  </si>
  <si>
    <t>https://www.balmoralfunds.com</t>
  </si>
  <si>
    <t>800.0</t>
  </si>
  <si>
    <t>1300.0</t>
  </si>
  <si>
    <t>2025-12-09</t>
  </si>
  <si>
    <t>Seeded from CapIQ export. Numeric fields are regex first-pass — crawler will confirm. capiq_description preserved for AI extraction fallback. | [extractor] Special situations PE firm focused on control and shared-control investments. Investment criteria explicitly stated on website. Portfolio includes diversified industrial, logistics, and specialty manufacturing companies. Recent deals through December 2025. Fact sheet PDF available at https://www.balmoralfunds.com/wp-content/uploads/Balmoral-Fact-Sheet-03-23-2026.pdf but not parsed. Sectors inferred from portfolio companies (aviation, logistics, modular construction, specialty chemicals). No AUM, fund vintage, or explicit sector exclusions disclosed.</t>
  </si>
  <si>
    <t>Banneker Partners, LLC</t>
  </si>
  <si>
    <t>https://www.bannekerpartners.com</t>
  </si>
  <si>
    <t>Seeded from CapIQ export. Numeric fields are regex first-pass — crawler will confirm. capiq_description preserved for AI extraction fallback. | [extractor] Page content extracted focuses on investment approach in enterprise software companies. Firm described as 'private equity partner specialized in software investing.' Limited data available—no HQ location, check size, AUM, fund details, or recent deal dates confirmed. Page is primarily CSS and schema markup with minimal substantive criteria. Requires additional source pages (team, portfolio, fund documents) for comprehensive profile.</t>
  </si>
  <si>
    <t>Bansk Group LLC</t>
  </si>
  <si>
    <t>NY</t>
  </si>
  <si>
    <t>New York</t>
  </si>
  <si>
    <t>https://www.banskgroup.com</t>
  </si>
  <si>
    <t>2000.0</t>
  </si>
  <si>
    <t>Seeded from CapIQ export. Numeric fields are regex first-pass — crawler will confirm. capiq_description preserved for AI extraction fallback. | [extractor] Bansk Group founded 2019, consumer-focused PE firm based in New York. Partners have collectively invested $30B+ across 40+ transactions. Target equity check size $100M-$400M. Focus areas: Beauty &amp; Personal Care, Consumer Health, Food &amp; Beverage, Household Products. Current portfolio includes Arcadia (OTC/vitamins/supplements) and BYOMA (skincare). Long-term value creation model with operational expertise. No specific fund name or vintage year for current fund disclosed on website.</t>
  </si>
  <si>
    <t>Basalt Infrastructure Partners LLP</t>
  </si>
  <si>
    <t>London</t>
  </si>
  <si>
    <t>https://www.basaltinfra.com</t>
  </si>
  <si>
    <t>Infrastructure</t>
  </si>
  <si>
    <t>Seeded from CapIQ export. Numeric fields are regex first-pass — crawler will confirm. capiq_description preserved for AI extraction fallback. | [extractor] Basalt Infrastructure Partners is a dedicated mid-market infrastructure PE investor with transatlantic focus (Europe and North America). AUM of $9bn confirmed. 35 investments across Power, Transport, Utilities, Telecom, Waste, Energy, and related infrastructure sectors. Team of 59 professionals with 19 years average senior experience. No specific deal size minimums/maximums, revenue/EBITDA criteria found on website.</t>
  </si>
  <si>
    <t>BayHawk Capital, L.P.</t>
  </si>
  <si>
    <t>https://www.bayhawkcapital.com</t>
  </si>
  <si>
    <t>Essential Services, Infrastructure Services, Tech-Enabled Services</t>
  </si>
  <si>
    <t>Industrial and Facility Services, Residential and Commercial Services, Testing Inspection Compliance Certification, Data and Information Services, Software-as-a-Service</t>
  </si>
  <si>
    <t>730.75</t>
  </si>
  <si>
    <t>2025-12</t>
  </si>
  <si>
    <t>Seeded from CapIQ export. Numeric fields are regex first-pass — crawler will confirm. capiq_description preserved for AI extraction fallback. | [extractor] Boston-based PE firm founded by former Thomas H. Lee Partners team members. Invests in essential services and technology companies in North America with majority or substantial minority stakes. Check sizes $25-150M. Recent investments through December 2025. Founding team has 50+ years combined experience and deployed $4B+ across sectors. No specific fund vintage, AUM, or fund number disclosed on website.</t>
  </si>
  <si>
    <t>BayPine LP</t>
  </si>
  <si>
    <t>Massachusetts</t>
  </si>
  <si>
    <t>https://www.baypine.com</t>
  </si>
  <si>
    <t>Healthcare, Industrials, Business Services</t>
  </si>
  <si>
    <t>2941.8</t>
  </si>
  <si>
    <t>Seeded from CapIQ export. Numeric fields are regex first-pass — crawler will confirm. capiq_description preserved for AI extraction fallback. | [extractor] BayPine is a PE firm focused on digitization and modernization of traditional businesses. HQ Boston with NYC office. Portfolio spans Healthcare Services (QualDerm, CenExel), Industrial Services (Mavis, POLYWOOD), and Business Services (Penn Foster, Harbor). All portfolio companies marked Unrealized; most recent deal 2025. Investment criteria emphasize tech-enabled growth, market-leading businesses, and digital transformation. No explicit fund sizing, AUM, check size, or financial metric thresholds found on website.</t>
  </si>
  <si>
    <t>Berkshire Partners LLC</t>
  </si>
  <si>
    <t>https://berkshirepartners.com</t>
  </si>
  <si>
    <t>Financial Services, Real Estate, Healthcare</t>
  </si>
  <si>
    <t>29003.5</t>
  </si>
  <si>
    <t>Seeded from CapIQ export. Numeric fields are regex first-pass — crawler will confirm. capiq_description preserved for AI extraction fallback. | [extractor] Page content is mostly tracking code and analytics scripts. Only confirmed: firm_type=PE (inferred from URL structure /private-equity/). Meta description states 'In more than three decades of private equity investing' and firm invests in 'growing and enduring businesses' with focus on 'partnerships with management teams', but no specific investment criteria, sectors, check sizes, AUM, or geographic focus extracted. Actual investment criteria content not present in provided source. Needs review of full webpage content.</t>
  </si>
  <si>
    <t>Bessemer Investment Partners</t>
  </si>
  <si>
    <t>https://www.bessemerinvestors.com</t>
  </si>
  <si>
    <t>Business Services, Industrials, Real Estate</t>
  </si>
  <si>
    <t>2024-09-01</t>
  </si>
  <si>
    <t>Seeded from CapIQ export. Numeric fields are regex first-pass — crawler will confirm. capiq_description preserved for AI extraction fallback. | [extractor] Bessemer Investors is a family-office-backed PE firm (Phipps family capital). Based on portfolio companies, invests in control acquisitions across business services, light industrials, and real estate sectors. Recent deals: W Services Group (Sept 2024), RotoCo (June 2022). No explicit investment criteria ranges found. No fund-specific details (vintage, AUM, check size) available. Describe as 'Partners, Not Owners' with flexible hold periods and no portfolio fees.</t>
  </si>
  <si>
    <t>Black Dragon Capital, LLC</t>
  </si>
  <si>
    <t>https://www.blackdragoncap.com</t>
  </si>
  <si>
    <t>Venture, Growth Equity, Buyout</t>
  </si>
  <si>
    <t>900.0</t>
  </si>
  <si>
    <t>Seeded from CapIQ export. Numeric fields are regex first-pass — crawler will confirm. capiq_description preserved for AI extraction fallback. | [extractor] Black Dragon Capital invests across early-stage to established technology companies with buyout and growth-oriented mandates. Portfolio companies identified: EnterWorks (e-commerce), Indus, Digital Goodie. Fintech focus area noted. Operationally-led model with deep industry contacts. HQ location, fund details, AUM, check sizes, and specific investment thresholds not disclosed on pages reviewed. No PDF criteria document found. Pages appear incomplete/truncated. Confidence Medium due to inferred deal types from descriptive language rather than explicit criteria statements.</t>
  </si>
  <si>
    <t>Blackford Capital Associates II, Inc.</t>
  </si>
  <si>
    <t>Michigan</t>
  </si>
  <si>
    <t>Grand Rapids</t>
  </si>
  <si>
    <t>https://www.blackfordcapital.com</t>
  </si>
  <si>
    <t>91.07</t>
  </si>
  <si>
    <t>2025-01-27</t>
  </si>
  <si>
    <t>Seeded from CapIQ export. Numeric fields are regex first-pass — crawler will confirm. capiq_description preserved for AI extraction fallback. | [extractor] Blackford Capital is a lower middle market PE firm headquartered in Grand Rapids, Michigan. Portfolio evidence shows active buyout activity across industrial, construction services, fire safety, and automation sectors. Recent deals include Security Fire Systems (Dec 2024), Texas Injection Molding (2026), Ace Controls (Jan 2025), and Mopec sale (Jan 2025). No explicit investment criteria, AUM, check size, or financial thresholds found on portfolio page. Fund number inferred from firm name suffix 'II'.</t>
  </si>
  <si>
    <t>Blackstone Energy Transition Partners</t>
  </si>
  <si>
    <t>https://www.blackstone.com/our-businesses/blackstone-energy-transition-partners</t>
  </si>
  <si>
    <t>Energy, Industrials, Infrastructure</t>
  </si>
  <si>
    <t>5600.0</t>
  </si>
  <si>
    <t>Blackstone Energy Transition Partners IV</t>
  </si>
  <si>
    <t>Seeded from CapIQ export. Numeric fields are regex first-pass — crawler will confirm. capiq_description preserved for AI extraction fallback. | [extractor] Blackstone Energy Transition Partners is a PE firm focused on energy transition and climate solutions. BETP IV closed at $5.6B hard cap (approximately 33% larger than predecessor). Firm has invested over $28B globally across energy sectors. Portfolio includes power plants, grid infrastructure, SaaS platforms, engineering services, and renewable energy. Headquarters location not specified on page.</t>
  </si>
  <si>
    <t>Blackstone Inc. (NYSE:BX)</t>
  </si>
  <si>
    <t>https://www.blackstone.com</t>
  </si>
  <si>
    <t>Real Estate, Infrastructure, Generalist</t>
  </si>
  <si>
    <t>1274931.23</t>
  </si>
  <si>
    <t>Seeded from CapIQ export. Numeric fields are regex first-pass — crawler will confirm. capiq_description preserved for AI extraction fallback. | [extractor] Blackstone is a publicly traded diversified alternative asset manager (NYSE:BX) with multiple business lines including Private Equity, Real Estate, Credit &amp; Insurance, Infrastructure, Life Sciences, Growth, and Energy Transition Partners. Website is corporate overview; specific investment criteria not detailed. HQ location not confirmed from provided content. AUM and specific fund information not extracted from homepage. Requires review of individual business unit pages or investor materials for detailed criteria.</t>
  </si>
  <si>
    <t>Blue Sage Capital, L.P.</t>
  </si>
  <si>
    <t>Austin</t>
  </si>
  <si>
    <t>https://www.bluesage.com</t>
  </si>
  <si>
    <t>Buyout, Growth Equity, Recap, Mezzanine</t>
  </si>
  <si>
    <t>2025-11-05</t>
  </si>
  <si>
    <t>Blue Sage Capital IV, L.P.</t>
  </si>
  <si>
    <t>Seeded from CapIQ export. Numeric fields are regex first-pass — crawler will confirm. capiq_description preserved for AI extraction fallback. | [extractor] Firm at a Glance PDF available: https://static.spacecrafted.com/c92111026fa443e6b8fe2553197229b3/r/e47e0544e59d424198110dd6cbf5f238/1/Blue%20Sage%20Flyer%20%28%20October%20-%2025%29.pdf — not parsed. AUM stated as 'over a billion dollars' set to 1000.0. Fund IV closed January 2025 at $618M; Blue Sage Strategic Credit Fund closed October 2025 at $287M. Recent deal activity through November 2025 indicates Active status. Check size range inferred from '$25-60M investment' language. Sector keywords extracted from stated industries. Deal types include majority/minority equity and mezzanine debt flexibility per criteria.</t>
  </si>
  <si>
    <t>Bluejay Capital Partners, LLC</t>
  </si>
  <si>
    <t>https://bluejay-advisors.com</t>
  </si>
  <si>
    <t>Industrials, Infrastructure, Consumer</t>
  </si>
  <si>
    <t>Seeded from CapIQ export. Numeric fields are regex first-pass — crawler will confirm. capiq_description preserved for AI extraction fallback. | [extractor] Source material is about Bluejay Advisors (grants advisory firm), not Bluejay Capital Partners, LLC. No PE/VC investment criteria found. The website shows grant application advisory services for transportation infrastructure projects, not investment activities. Firm type, location, investment criteria, and fund details cannot be confirmed from provided content.</t>
  </si>
  <si>
    <t>Bluestar Alliance, LLC</t>
  </si>
  <si>
    <t>https://www.bluestaralliance.com/</t>
  </si>
  <si>
    <t>Seeded from CapIQ export. Numeric fields are regex first-pass — crawler will confirm. capiq_description preserved for AI extraction fallback. | [extractor] Bluestar Alliance is a brand management company, not a traditional PE/VC firm. Founded 2007. Headquarters inferred as New York (phone 212 area code). Portfolio generates $13B+ in global retail sales. Operates 500+ branded retail stores globally. Not an investment fund; manages consumer brands across fashion, lifestyle, entertainment, home sectors. Investment contact email exists but firm appears to be a brand operator/manager rather than capital allocator. Lacks traditional PE/VC investment criteria.</t>
  </si>
  <si>
    <t>Bolt Ventures GmbH</t>
  </si>
  <si>
    <t>VC</t>
  </si>
  <si>
    <t>München</t>
  </si>
  <si>
    <t>https://bolt-ventures.com</t>
  </si>
  <si>
    <t>false</t>
  </si>
  <si>
    <t>Venture</t>
  </si>
  <si>
    <t>Seeded from CapIQ export. Numeric fields are regex first-pass — crawler will confirm. capiq_description preserved for AI extraction fallback. | [extractor] Family-owned VC firm focused on IT, Gaming &amp; High Tech companies in Europe with global ambition. Acquires significant shareholdings with active board involvement. Buy &amp; build and organic growth strategies mentioned. No explicit check size, AUM, fund details, or US investment confirmation provided.</t>
  </si>
  <si>
    <t>Borgman Capital LLC</t>
  </si>
  <si>
    <t>https://www.borgmancapital.com</t>
  </si>
  <si>
    <t>Industrials, Business Services, Healthcare</t>
  </si>
  <si>
    <t>Manufacturing, Distribution, Healthcare Services</t>
  </si>
  <si>
    <t>HVAC, Food Processing, Outsourced Services</t>
  </si>
  <si>
    <t>Real Estate, Financial Services, Startups</t>
  </si>
  <si>
    <t>2026-06-04</t>
  </si>
  <si>
    <t>Seeded from CapIQ export. Numeric fields are regex first-pass — crawler will confirm. capiq_description preserved for AI extraction fallback. | [crawler] Explicit investment criteria page found.</t>
  </si>
  <si>
    <t>Bow River Asset Management LLC</t>
  </si>
  <si>
    <t>https://www.bowrivercapital.com</t>
  </si>
  <si>
    <t>7.0</t>
  </si>
  <si>
    <t>Industrials, Healthcare, Business Services</t>
  </si>
  <si>
    <t>2025-03-05</t>
  </si>
  <si>
    <t>Seeded from CapIQ export. Numeric fields are regex first-pass — crawler will confirm. capiq_description preserved for AI extraction fallback. | [extractor] Multi-strategy platform with PE, Private Credit, Asset-Based Finance, and other verticals. Extracted PE criteria from Private Equity page. HQ location (Denver, CO inferred from 303 area code) not explicitly confirmed in provided pages. Recent deals through 2025. Platform has ~50+ total deals worth $2.75B. Also operates Software Growth Equity and VC verticals not detailed in provided content.</t>
  </si>
  <si>
    <t>Brenton Point Capital Partners, LLC</t>
  </si>
  <si>
    <t>https://www.brentonpointcp.com</t>
  </si>
  <si>
    <t>Industrials, Consumer</t>
  </si>
  <si>
    <t>Seeded from CapIQ export. Numeric fields are regex first-pass — crawler will confirm. capiq_description preserved for AI extraction fallback. | [extractor] Portfolio page accessed (https://brentonpointcp.com/portfolio) but only rendered JavaScript/CSS code provided—no actual portfolio company data, investment criteria, or firm details visible. Cannot extract investment criteria without substantive content. Requires review of actual HTML content or alternative source pages.</t>
  </si>
  <si>
    <t>Brightstar Capital Partners, L.P.</t>
  </si>
  <si>
    <t>https://www.brightstarcp.com</t>
  </si>
  <si>
    <t>Business Services, Industrials, Technology</t>
  </si>
  <si>
    <t>4849.98</t>
  </si>
  <si>
    <t>Seeded from CapIQ export. Numeric fields are regex first-pass — crawler will confirm. capiq_description preserved for AI extraction fallback. | [extractor] PE firm focused on middle market control investments with operational engagement. Multiple fund generations referenced (Fund I, II, III). Portfolio shows investment activity across Business Services, Industrials, Tech/Media/Telecom, and Financial Services. HQ in New York with secondary office in West Palm Beach. Specific sizing metrics, AUM, and deal check sizes not disclosed on provided pages.</t>
  </si>
  <si>
    <t>Brixey &amp; Meyer Capital LLC</t>
  </si>
  <si>
    <t>Ohio</t>
  </si>
  <si>
    <t>Cincinnati</t>
  </si>
  <si>
    <t>https://www.bmcgrowth.com</t>
  </si>
  <si>
    <t>201.81</t>
  </si>
  <si>
    <t>Seeded from CapIQ export. Numeric fields are regex first-pass — crawler will confirm. capiq_description preserved for AI extraction fallback. | [extractor] Investment criteria explicitly stated on website: EBITDA $2-10M, industry niches with growth opportunities, strong management teams required, geographic focus on Eastern and Central time zones (portfolio heavily concentrated in Ohio, Tennessee, Michigan, Indiana). Firm type classified as PE based on control acquisitions and buyout strategy. Portfolio shows active deal flow. No fund-level data (AUM, vintage, fund name) available on website.</t>
  </si>
  <si>
    <t>Broadtree Partners, LLC</t>
  </si>
  <si>
    <t>NC</t>
  </si>
  <si>
    <t>Charlotte</t>
  </si>
  <si>
    <t>https://broadtreepartners.com</t>
  </si>
  <si>
    <t>2026-06-05</t>
  </si>
  <si>
    <t>Seeded from CapIQ export. Numeric fields are regex first-pass — crawler will confirm. capiq_description preserved for AI extraction fallback. | [extractor] Broadtree Partners is a lower middle-market PE firm in Charlotte, NC. Investment criteria confirmed: EBITDA min ~$3M (stated as $3M floor with margins noted), majority investments, privately held US-based companies with history of profitability and EBITDA growth. Page references '10' next to EBITDA growth history and '75' next to revenues but context is unclear — possibly $75M revenue max or EBITDA as % of revenues; figures not definitively interpretable. No fund name, AUM, or deal dates confirmed. Sector focus appears generalist. 25+ portfolio companies noted.</t>
  </si>
  <si>
    <t>Broadwater Capital Partners, LLC</t>
  </si>
  <si>
    <t>ND</t>
  </si>
  <si>
    <t>Fargo</t>
  </si>
  <si>
    <t>https://www.bwcap.com</t>
  </si>
  <si>
    <t>Seeded from CapIQ export. Numeric fields are regex first-pass — crawler will confirm. capiq_description preserved for AI extraction fallback. | [extractor] Broadwater Capital established 2021 in Fargo, ND. Invests in lower middle market companies in greater Midwest (13-state region). Prefers majority control but maintains flexibility for minority stakes. No fund-specific AUM or check size data disclosed on website. Explicit target industries: agribusiness, business services, consumer, distribution, light industrials, manufacturing, technology.</t>
  </si>
  <si>
    <t>Broadwing Capital Management, LLC</t>
  </si>
  <si>
    <t>https://www.broadwingcap.com</t>
  </si>
  <si>
    <t>513.11</t>
  </si>
  <si>
    <t>Seeded from CapIQ export. Numeric fields are regex first-pass — crawler will confirm. capiq_description preserved for AI extraction fallback. | [extractor] Investment criteria explicitly stated on site. EBITDA range is $5-25M+ (min 5.0, max open-ended — 25M noted as floor for '+' range, set ebitda_max to null). Focus on control equity investments (limited structured equity/debt) in North American headquartered companies; founder/family/entrepreneur sellers preferred. Deal types include buy-and-build, complex situations, and management buyouts. Geography is North America broadly, not US-only. HQ city/state not listed on site. AUM and fund details not disclosed.</t>
  </si>
  <si>
    <t>Brodie Generational Capital Partners, LLC</t>
  </si>
  <si>
    <t>PA</t>
  </si>
  <si>
    <t>Radnor</t>
  </si>
  <si>
    <t>https://bgencap.com</t>
  </si>
  <si>
    <t>500.0</t>
  </si>
  <si>
    <t>Industrials, Healthcare</t>
  </si>
  <si>
    <t>consumer, b2c</t>
  </si>
  <si>
    <t>Seeded from CapIQ export. Numeric fields are regex first-pass — crawler will confirm. capiq_description preserved for AI extraction fallback. | [extractor] Family-owned investment firm investing own capital. Focuses on control acquisitions (buyout) of established middle-market businesses in industrial/manufacturing sectors. Explicit criteria: US or UK HQ, revenue $100M+, EBITDA $20-50M, deal size $150-500M, B2B distribution, family-owned preference, control position required. Portfolio includes Sur-Seal and Zahav Bioscience. No fund structure identified; appears to be evergreen family office vehicle.</t>
  </si>
  <si>
    <t>Brookfield Asset Management Ltd. (TSX:BAM)</t>
  </si>
  <si>
    <t>https://www.bam.brookfield.com</t>
  </si>
  <si>
    <t>Infrastructure, Real Estate, Energy</t>
  </si>
  <si>
    <t>1000000.0</t>
  </si>
  <si>
    <t>Seeded from CapIQ export. Numeric fields are regex first-pass — crawler will confirm. capiq_description preserved for AI extraction fallback. | [extractor] Brookfield Asset Management is a global alternative asset manager headquartered in New York with $1T+ AUM. Firm type classified as 'Other' as it is a multi-strategy asset manager rather than traditional PE/VC. Primary sectors mentioned: infrastructure, energy, private equity, real estate, and credit. 250K+ operating employees. Recent major deals noted (Oaktree acquisition, Qatar AI venture). Confidence Medium: firm scope and AUM confirmed, but specific investment criteria (check sizes, revenue/EBITDA targets, deal types) not explicitly stated on homepage. Needs review due to complexity of multi-strategy platform and lack of explicit investment criteria details.</t>
  </si>
  <si>
    <t>Brydon Group, LLC</t>
  </si>
  <si>
    <t>DC</t>
  </si>
  <si>
    <t>Washington</t>
  </si>
  <si>
    <t>https://www.brydon.com</t>
  </si>
  <si>
    <t>1.0</t>
  </si>
  <si>
    <t>Business Services, Healthcare, Technology</t>
  </si>
  <si>
    <t>570.0</t>
  </si>
  <si>
    <t>Seeded from CapIQ export. Numeric fields are regex first-pass — crawler will confirm. capiq_description preserved for AI extraction fallback. | [extractor] Criteria explicitly stated on approach page: $5-25M revenue, $1-5M EBITDA, target 90-100% buyout, high recurring revenue, low capex, low customer concentration. Focus sectors: Business Services, Healthcare Services, Government Services, Software. AUM of $570M+ as of 12/31/2025. 46 acquisitions as of 3/10/2026, 21 CEOs operating since 2022. Launches ~6 platforms per year. HQ at 2000 Pennsylvania Ave Suite 5004, Washington D.C. 20006. CEO-in-Residence program is a key talent/deal sourcing mechanism. No check size or EV range explicitly stated.</t>
  </si>
  <si>
    <t>Burton Hill Capital</t>
  </si>
  <si>
    <t>https://www.burtonhillcapital.com</t>
  </si>
  <si>
    <t>Seeded from CapIQ export. Numeric fields are regex first-pass — crawler will confirm. capiq_description preserved for AI extraction fallback. | [extractor] Firm explicitly states focus on acquiring and operating small-to-medium businesses for long-term hold, not typical PE/VC model. Describes self as different from private equity. Privately held investment firm with committed private capital. No geographic location, AUM, or specific deal size parameters confirmed. One-pager PDF referenced but not parsed: https://dl.dropboxusercontent.com/u/18432039/Burton%20Hill%20One%20Pager.pdf. Needs review: firm classification ambiguous—could be Fundless Sponsor, Search Fund, or Family Office; insufficient data on HQ location and specific investment criteria.</t>
  </si>
  <si>
    <t>Butterfly Equity, LP</t>
  </si>
  <si>
    <t>Beverly Hills</t>
  </si>
  <si>
    <t>https://www.bfly.com</t>
  </si>
  <si>
    <t>Industrials, Consumer, Technology</t>
  </si>
  <si>
    <t>7084.56</t>
  </si>
  <si>
    <t>Seeded from CapIQ export. Numeric fields are regex first-pass — crawler will confirm. capiq_description preserved for AI extraction fallback. | [extractor] Confirmed: Beverly Hills, CA HQ (9595 Wilshire Blvd, Suite 510). Firm type PE inferred from name and portfolio activity. Page shows active/realized investments tracked but no investment criteria, sector focus, ticket sizes, or fund details provided in source material. Significant data gaps require review of additional sources.</t>
  </si>
  <si>
    <t>CCMP Growth Advisors, LP</t>
  </si>
  <si>
    <t>https://www.ccmpgrowth.com</t>
  </si>
  <si>
    <t>Consumer, Industrials, Business Services</t>
  </si>
  <si>
    <t>Smart Automation Technologies, Resilient Tech-Enabled Services, Essential &amp; Experiential Consumer Services, B2B2C Value Chain Outsourcing &amp; Distribution, Consumer Nutrition, Health &amp; Wellness, Home Automation &amp; Enthusiast Products</t>
  </si>
  <si>
    <t>Energy efficiency &amp; management, Factory &amp; warehouse automation, Automated testing &amp; monitoring technology, Engineered components, Outsourced facility &amp; business services, Utility, environmental &amp; infrastructure services, Professional &amp; skilled technical services, Supply chain services, Continuing professional education, Home &amp; residential services, Travel &amp; leisure services, Restaurants &amp; experiential multi-channel retail, Consumer convenience &amp; education services, Outsourced innovation and manufacturing services, Specialty distribution, Private label and trade brands, Vitamins and healthier for you products, Health &amp; fitness services &amp; products, Personal care &amp; beauty, Facility-based consumer healthcare &amp; childcare, Engineered consumer products, Home automation technologies, Auto aftermarket products &amp; services, Pet, home &amp; outdoor living products</t>
  </si>
  <si>
    <t>818.53</t>
  </si>
  <si>
    <t>Seeded from CapIQ export. Numeric fields are regex first-pass — crawler will confirm. capiq_description preserved for AI extraction fallback. | [extractor] Investment criteria explicitly stated on website. Check size $50-200M including LP coinvest. Focus on North American privately-held consumer, industrial tech, and services businesses. Predominantly control buyouts with selective growth equity. Target companies with 10%+ organic growth. Focus on family-owned, founder-led, and middle market platforms in transition. HQ city/state not confirmed from source pages. AUM not disclosed. Firm overview PDF found: https://www.ccmpgrowth.com/images/home/CCMPGrowth-FirmOverview-Q12026.pdf — not parsed. References legacy funds CCMP II, CCMP III, and CCMP III CV.</t>
  </si>
  <si>
    <t>CORE Industrial Partners, LLC</t>
  </si>
  <si>
    <t>https://www.coreipfund.com</t>
  </si>
  <si>
    <t>Seeded from CapIQ export. Numeric fields are regex first-pass — crawler will confirm. capiq_description preserved for AI extraction fallback. | [extractor] Portfolio page confirms PE focus on manufacturing, industrial technology &amp; services with buyout strategy. Firm name and sector focus confirmed via schema markup. HQ location, fund details, AUM, check sizes, and specific investment criteria not found on provided page content. Page last modified 2025-08-21. Needs review to confirm HQ location and obtain additional fund/investment criteria details from other sources.</t>
  </si>
  <si>
    <t>CVC Capital Partners plc (ENXTAM:CVC)</t>
  </si>
  <si>
    <t>https://www.cvc.com</t>
  </si>
  <si>
    <t>Technology, Healthcare, Industrials</t>
  </si>
  <si>
    <t>228571.4</t>
  </si>
  <si>
    <t>Seeded from CapIQ export. Numeric fields are regex first-pass — crawler will confirm. capiq_description preserved for AI extraction fallback. | [extractor] CVC Capital Partners is a global PE firm with €209 billion AUM (~$228.6B USD as of March 2026). Portfolio includes 150+ companies across multiple strategies (Europe/Americas, Asia, Strategic Opportunities, Catalyst, Secondaries, Credit, Infrastructure). Confirmed sectors: Technology, Healthcare, Industrials, Financial Services, Consumer/Retail, Distribution, Energy, Manufacturing, Chemicals, Business Services, Sports/Media, Transportation/Infrastructure, Utilities, Building/Construction. HQ location not explicitly stated in source material.</t>
  </si>
  <si>
    <t>CX Institutional, LLC</t>
  </si>
  <si>
    <t>https://credentwealth.com</t>
  </si>
  <si>
    <t>4464.69</t>
  </si>
  <si>
    <t>Seeded from CapIQ export. Numeric fields are regex first-pass — crawler will confirm. capiq_description preserved for AI extraction fallback. | [extractor] CX Institutional, LLC is mentioned only as a registered investment advisor affiliated with Credent Wealth Management, a retail wealth management/financial planning firm. The source page contains no PE/VC investment criteria — no deal types, sector focus, check sizes, or portfolio company data. This entity does not appear to be a PE/VC firm. Needs review to confirm correct firm was intended for this database.</t>
  </si>
  <si>
    <t>Calera Capital Advisors, LP</t>
  </si>
  <si>
    <t>https://www.caleracapital.com</t>
  </si>
  <si>
    <t>Business Services, Industrials</t>
  </si>
  <si>
    <t>2024-12-31</t>
  </si>
  <si>
    <t>Seeded from CapIQ export. Numeric fields are regex first-pass — crawler will confirm. capiq_description preserved for AI extraction fallback. | [extractor] Calera Capital is a PE firm with HQ in Boston and secondary office in San Francisco. Three sector focus areas explicitly stated: Business Services, Logistics, and Specialty Industrials. Invests in mid-market control acquisitions with value-creation through operational improvements and organic growth rather than leverage. Multiple active portfolio companies as of 12/31/2024. Fund names mentioned (Fund VI, Fund V, Calera Image Holdings) but vintage years and AUM not disclosed on pages reviewed. Confidence is Medium due to lack of explicit deal sizing, fund vintage, and AUM data. Needs review because page shows placeholder values ('0 Years in Business', '0 Funds Created', '0 Assets Under Management') suggesting incomplete data on website.</t>
  </si>
  <si>
    <t>Capitol Meridian Partners LP</t>
  </si>
  <si>
    <t>https://www.capitolmeridian.com</t>
  </si>
  <si>
    <t>Technology, Industrials, Business Services</t>
  </si>
  <si>
    <t>1669.26</t>
  </si>
  <si>
    <t>Seeded from CapIQ export. Numeric fields are regex first-pass — crawler will confirm. capiq_description preserved for AI extraction fallback. | [extractor] Investment criteria explicitly stated on target sectors page. EBITDA range: $5M-$75M+ for new platform investments. Equity checks: $50M-$250M+ upfront or over time. Transaction types: control-oriented buyout, growth, and carve-out. Geography: North America. EBITDA max of 75M+ and check size max of 250M+ noted as open-ended minimums. Portfolio includes Altumint (state/local software), Clarity (national security), LMI (federal gov services), Parry Labs (defense tech), PrimeFlight (aviation), Launch (commercial aviation), Beaufort (defense products), TechnoMile (gov contracting software). No fund name, vintage year, or AUM data found on site.</t>
  </si>
  <si>
    <t>Carbyne Equity Partners</t>
  </si>
  <si>
    <t>Hamburg</t>
  </si>
  <si>
    <t>https://www.carbynepartners.de</t>
  </si>
  <si>
    <t>130.0</t>
  </si>
  <si>
    <t>Seeded from CapIQ export. Numeric fields are regex first-pass — crawler will confirm. capiq_description preserved for AI extraction fallback. | [extractor] Carbyne Equity Partners is a German PE firm founded in 2023, backed by single German family LP. Focus on European buyouts and growth equity in Healthcare (MedTech, Life Science Services, Biotech), Nutrition &amp; Ingredients, and Agricultural Inputs. Buyout check size up to €150m; Growth Equity up to €50m (converted to USD equivalent: 150.0 and 50.0). Geography: platform investments in Europe, add-ons worldwide. Multiple deals closed in 2025 (SuanNutra in Spain, Chemia in Italy). Majority stakes preferred for buyouts; both majority and minority stakes for growth equity. Minimum profitability required; no turnarounds. Single-LP structure enables operational flexibility.</t>
  </si>
  <si>
    <t>Carolwood L.P.</t>
  </si>
  <si>
    <t>https://www.carolwoodlp.com</t>
  </si>
  <si>
    <t>Seeded from CapIQ export. Numeric fields are regex first-pass — crawler will confirm. capiq_description preserved for AI extraction fallback. | [crawler] Thin website — minimal investment criteria found. Manual review recommended.</t>
  </si>
  <si>
    <t>Catchment Capital, L.P.</t>
  </si>
  <si>
    <t>https://www.catchmentcapital.com</t>
  </si>
  <si>
    <t>Seeded from CapIQ export. Numeric fields are regex first-pass — crawler will confirm. capiq_description preserved for AI extraction fallback. | [extractor] PE firm focused on middle-market industrial companies in North America and Western Europe. Invests up to $75M EBITDA. Strategy emphasizes transformational growth initiatives through proprietary CaST process. Language suggests buyout/control model with strategic value-add. HQ location not provided on website. No fund-specific details (name, vintage, AUM) disclosed. Confidence Medium due to lack of explicit deal size, geographic HQ, and fund details. Needs review for potential fund documentation or additional sources.</t>
  </si>
  <si>
    <t>Cedar Springs Advisors, LLC</t>
  </si>
  <si>
    <t>https://www.cedarspringscapital.com</t>
  </si>
  <si>
    <t>Minority</t>
  </si>
  <si>
    <t>220.66</t>
  </si>
  <si>
    <t>Seeded from CapIQ export. Numeric fields are regex first-pass — crawler will confirm. capiq_description preserved for AI extraction fallback. | [extractor] Cedar Springs Capital/Advisors operates as SEC-registered investment adviser focused on secondary transactions (GP-led secondaries, secondary directs) and minority/co-investments in middle-market and lower middle-market companies. Firm type unclear—appears to be specialized secondary/minority investor, classified as 'Other'. Deal strategy emphasizes secondaries and minority stakes; no explicit buyout/control language. No AUM, fund vintage, check size, or sector focus details provided. Activity appears active based on current website. Confidence medium due to limited explicit criteria; needs review for firm classification and deal type confirmation.</t>
  </si>
  <si>
    <t>Center Rock Capital Partners, LP</t>
  </si>
  <si>
    <t>https://www.centerrockcp.com</t>
  </si>
  <si>
    <t>1734.53</t>
  </si>
  <si>
    <t>Seeded from CapIQ export. Numeric fields are regex first-pass — crawler will confirm. capiq_description preserved for AI extraction fallback. | [extractor] PE firm focused on industrial businesses. Confirmed buyout deal type and industrials sector based on homepage language ('leading industrial businesses', 'industrial franchises'). Portfolio includes 10 companies with recent exit (Wolverine, Diamond-C in 2025). HQ location not stated on homepage. Fact sheet PDF available: https://www.centerrockcp.com/wp-content/uploads/2023/09/CRCP-Fact-Sheet-as-of-Q1-2026.pdf — not parsed. Investment criteria page exists but content not provided. Needs_review=true due to missing HQ location, fund details, and specific financial criteria.</t>
  </si>
  <si>
    <t>CenterGate Capital, L.P.</t>
  </si>
  <si>
    <t>https://www.centergatecapital.com</t>
  </si>
  <si>
    <t>Business Services, Industrials, Consumer</t>
  </si>
  <si>
    <t>Seeded from CapIQ export. Numeric fields are regex first-pass — crawler will confirm. capiq_description preserved for AI extraction fallback. | [extractor] PE firm managing $750M AUM. Explicit investment criteria: $5-30M EBITDA platform size in Business Services, Manufacturing, and Consumer sectors. Portfolio shows diverse buyout activity across North America (primarily US &amp; Canada). One Page Overview PDF available at https://www.centergatecapital.com/_files/ugd/63f745_9a5cc5add04d4942bfaf939b87d07e4c.pdf — not parsed. HQ city/state not explicitly stated on pages provided.</t>
  </si>
  <si>
    <t>CenterOak Partners LLC</t>
  </si>
  <si>
    <t>https://centeroakpartners.com</t>
  </si>
  <si>
    <t>1110.0</t>
  </si>
  <si>
    <t>Seeded from CapIQ export. Numeric fields are regex first-pass — crawler will confirm. capiq_description preserved for AI extraction fallback. | [extractor] Page content appears to be CSS/HTML boilerplate only with no substantive investment criteria data. Strategy page URL provided but no actual strategy information extracted. Requires visit to actual website content or additional source pages to confirm firm details.</t>
  </si>
  <si>
    <t>Centerbridge Partners, L.P.</t>
  </si>
  <si>
    <t>https://www.centerbridge.com</t>
  </si>
  <si>
    <t>Seeded from CapIQ export. Numeric fields are regex first-pass — crawler will confirm. capiq_description preserved for AI extraction fallback. | [extractor] Centerbridge Partners founded 2005, operates PE, Credit, and Real Estate strategies. PE platform launched 2006. Firm description indicates control-oriented, multi-strategy approach with focus on downside protection and intrinsic value. No specific investment criteria, check sizes, AUM, sector focus, or deal count data found on pages reviewed. Headquarters location not specified. Needs review due to lack of specific investment criteria details.</t>
  </si>
  <si>
    <t>Centre Partners Management LLC</t>
  </si>
  <si>
    <t>https://www.centrepartners.com</t>
  </si>
  <si>
    <t>Consumer, Healthcare</t>
  </si>
  <si>
    <t>2700.0</t>
  </si>
  <si>
    <t>Seeded from CapIQ export. Numeric fields are regex first-pass — crawler will confirm. capiq_description preserved for AI extraction fallback. | [extractor] Centre Partners is a PE firm focused on control investments in North American middle-market businesses. Primary sectors: Consumer Products &amp; Services and Healthcare Services. 38+ year track record with $2.7B capital invested, 91 platform companies, 175+ add-on acquisitions. Headquarters in New York with office in Los Angeles. Specializes in entrepreneur, founder, and family-owned business acquisitions with transition/succession planning solutions.</t>
  </si>
  <si>
    <t>Cerberus Capital Management, L.P.</t>
  </si>
  <si>
    <t>https://www.cerberus.com</t>
  </si>
  <si>
    <t>Industrials, Consumer, Business Services</t>
  </si>
  <si>
    <t>85771.29</t>
  </si>
  <si>
    <t>Seeded from CapIQ export. Numeric fields are regex first-pass — crawler will confirm. capiq_description preserved for AI extraction fallback. | [extractor] Cerberus Capital Management confirmed as PE firm with portfolio of 19 companies and 655 active job postings. One portfolio company identified: Closure Systems International (CSI), packaging/manufacturing founded 1972, with US operations. No explicit investment criteria, fund details, AUM, or HQ location found on provided pages. Firm type inferred as PE based on portfolio company structure and buyout activity. Additional research needed for comprehensive investment criteria.</t>
  </si>
  <si>
    <t>Certares Management LLC</t>
  </si>
  <si>
    <t>https://www.certares.com</t>
  </si>
  <si>
    <t>Consumer, Business Services</t>
  </si>
  <si>
    <t>Seeded from CapIQ export. Numeric fields are regex first-pass — crawler will confirm. capiq_description preserved for AI extraction fallback. | [extractor] Founded in 2012. Focus on travel and tourism, hospitality, business and consumer services. No deal size, check size, fund, or AUM data found in source pages. Strategies page (https://certares.com/strategies/) was listed in nav but content was not fully parsed — may contain additional investment criteria. No PDF criteria documents found.</t>
  </si>
  <si>
    <t>Chapter One Ventures, LLC</t>
  </si>
  <si>
    <t>San Francisco</t>
  </si>
  <si>
    <t>https://chapterone.com</t>
  </si>
  <si>
    <t>2024</t>
  </si>
  <si>
    <t>Seeded from CapIQ export. Numeric fields are regex first-pass — crawler will confirm. capiq_description preserved for AI extraction fallback. | [extractor] VC firm investing in early-stage technology startups. Portfolio categories visible: AI/ML, Consumer, Crypto, Defense, Dev Tools, Fintech, Physical World, SaaS. Team includes Jeff Morris Jr. and Jamesin Seidel. Recent investments in Ragie (Aug 2024) and Hyperbolic (July 2024) noted. Hiring SF-based investment partner (July 2025). No explicit fund size, vintage year, check size, or stage criteria found on provided pages. HQ inferred as San Francisco based on SF hiring and portfolio focus; needs_review=true due to lack of explicit criteria confirmation.</t>
  </si>
  <si>
    <t>Charger Investment Partners LP</t>
  </si>
  <si>
    <t>https://www.chargerinv.com</t>
  </si>
  <si>
    <t>350.0</t>
  </si>
  <si>
    <t>35.0</t>
  </si>
  <si>
    <t>865.31</t>
  </si>
  <si>
    <t>Seeded from CapIQ export. Numeric fields are regex first-pass — crawler will confirm. capiq_description preserved for AI extraction fallback. | [extractor] Explicit investment criteria found on approach page. Invests in middle market through recaps, divestitures, MBOs, and private sales. Prefers control but considers significant minority stakes. Geography: US or Canada headquarters. Portfolio demonstrates active investment across industrials, consumer, and business services sectors. No fund-specific details (name, vintage, AUM) disclosed on public site.</t>
  </si>
  <si>
    <t>Chaver Capital Partners</t>
  </si>
  <si>
    <t>https://www.chavercap.com</t>
  </si>
  <si>
    <t>Seeded from CapIQ export. Numeric fields are regex first-pass — crawler will confirm. capiq_description preserved for AI extraction fallback. | [extractor] Operator-driven PE firm targeting lower middle market businesses in the US. Portfolio includes consumer-facing companies (frozen desserts, staffing, gum, food distribution, home décor). No explicit financial criteria, fund details, or HQ location provided on website. Inferred PE/Buyout based on 'operator-driven' language and control-oriented portfolio. Confidence limited by lack of explicit investment criteria documentation.</t>
  </si>
  <si>
    <t>Chimney Rock Equity Partners, LLC</t>
  </si>
  <si>
    <t>https://www.chimneyrockequity.com</t>
  </si>
  <si>
    <t>250.0</t>
  </si>
  <si>
    <t>Seeded from CapIQ export. Numeric fields are regex first-pass — crawler will confirm. capiq_description preserved for AI extraction fallback. | [extractor] PE firm focused on industrials sector with explicit investment criteria. Target platform investments: $5-20M EBITDA, transaction values up to $250M, control transactions, North America HQ, conservative capital structures. Three focus areas: Aerospace &amp; Defense, Industrial Products &amp; Services, Niche Products &amp; Services. Low disruption risk, large installed base, consumables, high visibility, diversified customer base, barriers to entry emphasized. Control acquisitions with repeatable value creation strategy.</t>
  </si>
  <si>
    <t>Citation Capital Management, LLC</t>
  </si>
  <si>
    <t>https://www.citation.capital</t>
  </si>
  <si>
    <t>Buyout, Growth Equity, Minority</t>
  </si>
  <si>
    <t>1359.92</t>
  </si>
  <si>
    <t>Seeded from CapIQ export. Numeric fields are regex first-pass — crawler will confirm. capiq_description preserved for AI extraction fallback. | [extractor] Citation Capital Management is a Dallas-based PE firm focused exclusively on family- and founder-owned businesses. Investment strategy includes control buyouts, minority investments, and structured equity. Team background includes BDT Capital, Goldman Sachs Merchant Bank, and CPPIB. No explicit investment criteria (check size, revenue/EBITDA thresholds, target sectors, or fund details) were found on the site. HQ appears to be Dallas, TX based on founder/team references, though some staff are based in New York and Connecticut. Activity tier set to Active based on staffing depth. Confidence is Low due to absence of explicit investment criteria. No criteria PDF found.</t>
  </si>
  <si>
    <t>Clayton, Dubilier &amp; Rice, LLC</t>
  </si>
  <si>
    <t>https://www.cdr.com</t>
  </si>
  <si>
    <t>Healthcare, Industrials, Technology</t>
  </si>
  <si>
    <t>Consumer, Financial Services</t>
  </si>
  <si>
    <t>Seeded from CapIQ export. Numeric fields are regex first-pass — crawler will confirm. capiq_description preserved for AI extraction fallback. | [extractor] CD&amp;R is a control-oriented PE firm focused solely on private equity with a single fund structure. Invests in North America and Europe across Healthcare, Consumer &amp; Retail Services, Financial Services, Industrials &amp; Business Services, and Technology. Recent deal: R1 RCM acquisition (2024, $8.9B enterprise value, co-invested with TowerBrook). Partnership-oriented approach with operational value-add focus. HQ location not specified in provided content.</t>
  </si>
  <si>
    <t>Clearlake Capital Group, L.P.</t>
  </si>
  <si>
    <t>https://www.clearlake.com</t>
  </si>
  <si>
    <t>83560.87</t>
  </si>
  <si>
    <t>Seeded from CapIQ export. Numeric fields are regex first-pass — crawler will confirm. capiq_description preserved for AI extraction fallback. | [extractor] Clearlake Capital Group is a PE firm with diverse portfolio spanning 100+ companies across technology, healthcare, industrials, and other sectors. Portfolio page confirms control-oriented buyout strategy. HQ location and specific fund details not found on provided content. Primarily US-focused investments based on portfolio composition.</t>
  </si>
  <si>
    <t>Closed Loop Partners, LLC</t>
  </si>
  <si>
    <t>https://www.closedlooppartners.com</t>
  </si>
  <si>
    <t>420.74</t>
  </si>
  <si>
    <t>Seeded from CapIQ export. Numeric fields are regex first-pass — crawler will confirm. capiq_description preserved for AI extraction fallback. | [extractor] Firm identified as New York-based investment firm with venture capital, growth equity, private equity and project finance capabilities. Focused on circular economy sector. Only schema.org metadata and page structure available; detailed investment criteria not present in source. Confidence is medium due to limited explicit criteria data. Needs review for precise deal size ranges, AUM, and sector classifications.</t>
  </si>
  <si>
    <t>Coalesce Capital Management, LLC</t>
  </si>
  <si>
    <t>https://www.coalescecap.com</t>
  </si>
  <si>
    <t>Buyout, Minority, Growth Equity</t>
  </si>
  <si>
    <t>Business Services, Technology, Industrials</t>
  </si>
  <si>
    <t>Professional Services, IT Services, Environmental Services</t>
  </si>
  <si>
    <t>Testing Inspection &amp; Certification, HR Services, BPO</t>
  </si>
  <si>
    <t>1834.66</t>
  </si>
  <si>
    <t>Seeded from CapIQ export. Numeric fields are regex first-pass — crawler will confirm. capiq_description preserved for AI extraction fallback. | [extractor] Explicit investment criteria stated on site: North America HQ, min $5M EBITDA, min $25M revenue, asset-light, human capital and technology-enabled business services. Primarily control/buyout investments with flexibility for minority. Portfolio includes Marshall &amp; Stevens, DecisionHR, DAS Health, Pearl Meyer, Examinetics, Miller Environmental Group — all active. HQ city/state not explicitly stated on the page. No fund name, vintage, or AUM disclosed. No PDF criteria documents found.</t>
  </si>
  <si>
    <t>Cobepa S.A.</t>
  </si>
  <si>
    <t>https://www.cobepa.com</t>
  </si>
  <si>
    <t>4595.06</t>
  </si>
  <si>
    <t>Seeded from CapIQ export. Numeric fields are regex first-pass — crawler will confirm. capiq_description preserved for AI extraction fallback. | [extractor] Cobepa is a Belgian investment company (likely evergreen family office structure). Invests €100-400m equity per transaction (up to €500m with co-investments); converted to USD ~108-540m. Targets majority or strong minority stakes in Europe and US. Focus on established companies with proven business models across diversified sectors. Portfolio example: SOCOTEC (acquired Feb 2013, majority stake via LBO). Recent deal activity confirmed through 2024-2025 portfolio news. HQ location not explicitly stated on provided pages.</t>
  </si>
  <si>
    <t>Cogenuity Partners, LLC</t>
  </si>
  <si>
    <t>https://cogenuity.com</t>
  </si>
  <si>
    <t>693.84</t>
  </si>
  <si>
    <t>Seeded from CapIQ export. Numeric fields are regex first-pass — crawler will confirm. capiq_description preserved for AI extraction fallback. | [extractor] Lower middle market PE firm focused on advanced industrial economy. Website clearly states investment criteria: up to $250m revenue, $5-35m EBITDA for platforms, $20-200m equity investment. North America HQ with openness to international operations. Four focus sectors listed: Advanced Manufacturing, Infrastructure Solutions, Industrial Technology, and Critical Industrial Services. Recent news from April 2026 indicates active deal activity.</t>
  </si>
  <si>
    <t>Colfax Creek Capital, LLC</t>
  </si>
  <si>
    <t>MI</t>
  </si>
  <si>
    <t>Birmingham</t>
  </si>
  <si>
    <t>https://www.colfaxcreek.com</t>
  </si>
  <si>
    <t>2026-02-01</t>
  </si>
  <si>
    <t>Seeded from CapIQ export. Numeric fields are regex first-pass — crawler will confirm. capiq_description preserved for AI extraction fallback. | [extractor] Permanent capital acquirer focused on control buyouts of manufacturing/industrial service companies in Great Lakes region (especially within drive of Detroit). Explicit criteria: $2–4M EBITDA, $10–50M+ platform revenue, &gt;10% free cash flow margins, recurring revenue model. Founded 2017, completed 6+ acquisitions, 4 active portfolio companies as of latest update. Lead investor Jason Duzan has 25+ years Great Lakes transaction experience. PDF overview available: https://colfaxcreek.com/wp-content/uploads/2026/02/2-Pager-ColfaxCreek-Industrial-Overview-v2026-02.pdf</t>
  </si>
  <si>
    <t>Coltala Holdings, LLC</t>
  </si>
  <si>
    <t>https://www.coltala-holdings,.com</t>
  </si>
  <si>
    <t>Healthcare, Technology</t>
  </si>
  <si>
    <t>Healthcare Services, Software</t>
  </si>
  <si>
    <t>Seeded from CapIQ export. Numeric fields are regex first-pass — crawler will confirm. capiq_description preserved for AI extraction fallback. | [crawler] Criteria inferred from strategy page and portfolio. Revenue range not stated.</t>
  </si>
  <si>
    <t>Compass Group Management, LLC</t>
  </si>
  <si>
    <t>https://www.cgep.com</t>
  </si>
  <si>
    <t>801.48</t>
  </si>
  <si>
    <t>Seeded from CapIQ export. Numeric fields are regex first-pass — crawler will confirm. capiq_description preserved for AI extraction fallback. | [extractor] Page source provided contains only HTML/CSS boilerplate and structured metadata. No actual investment criteria content extracted. Page describes 'collaborative ownership, disciplined research and long-term value creation in the lower middle market' but specific deal types, sectors, check sizes, and target company metrics are not visible in provided source. Full page content review needed.</t>
  </si>
  <si>
    <t>Confluence Healthcare Partners, LLC</t>
  </si>
  <si>
    <t>https://www.confluencehealthcarepartners.com</t>
  </si>
  <si>
    <t>2022-07-01</t>
  </si>
  <si>
    <t>Seeded from CapIQ export. Numeric fields are regex first-pass — crawler will confirm. capiq_description preserved for AI extraction fallback. | [extractor] Confluence Healthcare Partners is a PE firm focused exclusively on lower-middle market healthcare services companies. They explicitly target both majority and minority equity investments. Portfolio includes pain management, ENT, neurology, primary care, behavioral health, pharmacy, staffing, and healthcare IT. Recent exit: Matchwell (7/22). HQ location not disclosed on website. No fund-specific information, AUM, or deal size ranges provided.</t>
  </si>
  <si>
    <t>Confluence Point Holdings</t>
  </si>
  <si>
    <t>https://www.confluencepoint.com</t>
  </si>
  <si>
    <t>Seeded from CapIQ export. Numeric fields are regex first-pass — crawler will confirm. capiq_description preserved for AI extraction fallback. | [extractor] Independent PE firm focused on lower middle market buyouts with majority ownership. EBITDA range $1-5M explicitly stated. Targets established companies in essential services/products: environmental &amp; safety services, specialty manufacturing &amp; distribution, residential services, commercial &amp; facility services. Majority ownership and leadership transition focus confirmed. Two managing partners with 30+ years combined PE experience. Based in Greenwich, CT. No fund-specific data (name, vintage, AUM) disclosed on website.</t>
  </si>
  <si>
    <t>Connecticut Wealth Management, LLC</t>
  </si>
  <si>
    <t>https://ctwealthmgmt.com</t>
  </si>
  <si>
    <t>Seeded from CapIQ export. Numeric fields are regex first-pass — crawler will confirm. capiq_description preserved for AI extraction fallback. | [extractor] Source page contains primarily JavaScript code and limited structured content. Firm appears to be Connecticut Wealth Management, LLC based on title tag. State inferred as CT from firm name. Firm type inferred as Family Office based on 'Client Focused Financial Advisors' subtitle, but this is speculative. Page content insufficient to extract investment criteria, deal types, sectors, or AUM. Requires review of actual firm website content or fund documentation.</t>
  </si>
  <si>
    <t>Constellation Wealth Capital, LLC</t>
  </si>
  <si>
    <t>https://constellationwealthcapital.com</t>
  </si>
  <si>
    <t>2524.45</t>
  </si>
  <si>
    <t>Seeded from CapIQ export. Numeric fields are regex first-pass — crawler will confirm. capiq_description preserved for AI extraction fallback. | [extractor] Constellation Wealth Capital specializes in control investments in wealth management firms (RIAs). Focuses on well-positioned firms seeking growth and capital solutions. Located in Chicago, IL. Team has deep WM sector experience. No specific fund details, AUM, check size ranges, or portfolio company financials provided on website. Activity appears active based on current operations and advisory services offerings.</t>
  </si>
  <si>
    <t>Copley Equity Partners</t>
  </si>
  <si>
    <t>https://www.copleyequity.com</t>
  </si>
  <si>
    <t>Seeded from CapIQ export. Numeric fields are regex first-pass — crawler will confirm. capiq_description preserved for AI extraction fallback. | [extractor] Copley Equity Partners is an evergreen single family office established in 2012. Focuses on lower-middle market private companies in North America with $2-25M in earnings/FCF. Invests $5-75M equity per transaction in both majority and minority positions. Industry agnostic across broad range of sectors. Portfolio shows healthcare, business services, industrial, consumer, and financial services exposure. No specific geographic HQ location, fund name, or AUM disclosed on website.</t>
  </si>
  <si>
    <t>Cotton Creek Capital Management, LLC</t>
  </si>
  <si>
    <t>https://www.cottoncreekcapital.com</t>
  </si>
  <si>
    <t>1.19</t>
  </si>
  <si>
    <t>2025-03-01</t>
  </si>
  <si>
    <t>Seeded from CapIQ export. Numeric fields are regex first-pass — crawler will confirm. capiq_description preserved for AI extraction fallback. | [extractor] Lower middle market PE firm based in Austin, TX. Targets companies with EBITDA $5M-$15M. Focus on first round institutional capital, divestitures, and management-backed strategies. US investments with emphasis on Southwest. Portfolio shows exits through both strategic and financial buyers through 2025. Specific investment criteria explicitly stated on criteria page.</t>
  </si>
  <si>
    <t>Courizon Partners LLC</t>
  </si>
  <si>
    <t>https://www.courizonpartners.com</t>
  </si>
  <si>
    <t>Seeded from CapIQ export. Numeric fields are regex first-pass — crawler will confirm. capiq_description preserved for AI extraction fallback. | [extractor] Courizon Partners is a PE firm focusing on control buyouts of middle-market industrial and consumer businesses in North America. Explicit investment criteria published on website. Revenue range $150M–$750M, equity check $50M–$150M in control situations. Target companies at defining moments of change (family-owned, corporate orphans, distressed assets). HQ: 300 Park Avenue, New York, NY 10022. Known deal: Air Burners acquisition (2024). Team includes Managing Partner Evan LePatner (former Gamut Capital, KPS Capital Partners).</t>
  </si>
  <si>
    <t>Court Square Capital Management, L.P.</t>
  </si>
  <si>
    <t>https://www.courtsquare.com</t>
  </si>
  <si>
    <t>Seeded from CapIQ export. Numeric fields are regex first-pass — crawler will confirm. capiq_description preserved for AI extraction fallback. | [extractor] Court Square Capital Management is a PE firm with extensive portfolio of 253+ middle-market companies across Industrials, Tech &amp; Telecom, Healthcare, and Business Services. Homepage language emphasizes 'transformational growth' and 'middle market companies' consistent with buyout strategy. Specific investment criteria (check size, fund details, AUM, geographic focus) not available on portfolio page. HQ location and specific fund information not confirmed. Needs review for detailed investment criteria confirmation.</t>
  </si>
  <si>
    <t>Crain Capital, LLC</t>
  </si>
  <si>
    <t>https://www.crainco.com/crain-capital/</t>
  </si>
  <si>
    <t>Real Estate</t>
  </si>
  <si>
    <t>Crain Capital</t>
  </si>
  <si>
    <t>Seeded from CapIQ export. Numeric fields are regex first-pass — crawler will confirm. capiq_description preserved for AI extraction fallback. | [extractor] Crain Capital is a multifamily acquisition and equity firm specializing in value-add and distressed asset acquisitions. HQs listed as New York, Dallas, and Wichita but primary headquarters not specified. Total acquisition value $325MM, equity deployed $50MM, 4,250 multifamily units owned. Historical IRR 22%, EMx 2.9x. Founded 15 years ago by Graham Crain. Firm focuses on US multifamily real estate investments. Track record page referenced but not provided in source content.</t>
  </si>
  <si>
    <t>Creach Family Holdings LLC</t>
  </si>
  <si>
    <t>Stuart</t>
  </si>
  <si>
    <t>https://www.creachholdings.com</t>
  </si>
  <si>
    <t>Technology, Healthcare</t>
  </si>
  <si>
    <t>Seeded from CapIQ export. Numeric fields are regex first-pass — crawler will confirm. capiq_description preserved for AI extraction fallback. | [extractor] Creach Family Holdings is the direct investing arm of Creach Family Office. Focus areas explicitly stated: AI, Software, SaaS, Technology-Enabled Services, Data, and Machine Learning. Portfolio shows active investments in healthcare tech (Careficient, HealthRev Partners, Sacred Heart Health Care) and other sectors (True Captive Insurance, ettitude). One exit noted (eSolutions). Founder-present partnerships preferred. Patient, long-term investment approach. US-based, Florida headquarters. No fund structure, AUM, check sizes, or specific financial criteria disclosed.</t>
  </si>
  <si>
    <t>Crossplane Capital Management, LP</t>
  </si>
  <si>
    <t>https://www.crossplanecapital.com</t>
  </si>
  <si>
    <t>Seeded from CapIQ export. Numeric fields are regex first-pass — crawler will confirm. capiq_description preserved for AI extraction fallback. | [extractor] Source page (https://www.crossplanecapital.com/strategy) contains only JavaScript code for lazy loading scripts. No actual investment criteria, firm details, or fund information could be extracted. Page content not accessible from provided source.</t>
  </si>
  <si>
    <t>Crux Capital Ltd</t>
  </si>
  <si>
    <t>https://www.crux-cap.com</t>
  </si>
  <si>
    <t>342.0</t>
  </si>
  <si>
    <t>2026-04-07</t>
  </si>
  <si>
    <t>Seeded from CapIQ export. Numeric fields are regex first-pass — crawler will confirm. capiq_description preserved for AI extraction fallback. | [extractor] Crux Capital is a PE firm focused on majority or significant minority investments in consumer and commercial services. Recent $342M fund closed in 2025. Portfolio includes 10+ platform companies and realized exits. Headquartered in Dallas, Texas. Criteria explicitly detailed on website. Deal types include family transitions, equity recaps, growth capital, and management buyouts. No explicit check size limits stated.</t>
  </si>
  <si>
    <t>Dahlia Equity Partners, LP.</t>
  </si>
  <si>
    <t>https://www.dahliaequity.com</t>
  </si>
  <si>
    <t>Growth Equity</t>
  </si>
  <si>
    <t>2025-07-01</t>
  </si>
  <si>
    <t>Seeded from CapIQ export. Numeric fields are regex first-pass — crawler will confirm. capiq_description preserved for AI extraction fallback. | [extractor] Dahlia Equity Partners invests exclusively in software companies powering core customer workflows. Explicitly states no ownership thresholds, investment minimums/maximums, or use of proceeds requirements. Recent deals: Prokeep ($25M Series A, Nov 2024), Ticketure spin-out (Jul 2025). Founded 2016 per Prokeep reference. No fund size, vintage year, or specific investment size ranges disclosed. Classified as Growth Equity based on minority stake language in Prokeep deal and focus on software companies at various stages without control-oriented buyout language.</t>
  </si>
  <si>
    <t>Danos, Inc.</t>
  </si>
  <si>
    <t>https://www.danos.com</t>
  </si>
  <si>
    <t>Seeded from CapIQ export. Numeric fields are regex first-pass — crawler will confirm. capiq_description preserved for AI extraction fallback. | [extractor] Danos, Inc. appears to be an operating company providing energy/oil &amp; gas services (production workforce, decommissioning, instrumentation, coastal restoration, etc.), not a PE/VC firm. Portfolio page shows project work and service delivery, not investment portfolio. 'Danos Ventures' mentioned in navigation but no fund details provided. Unable to extract investment criteria. This entity does not match PE/VC investor profile.</t>
  </si>
  <si>
    <t>Declaration Partners LP</t>
  </si>
  <si>
    <t>https://www.declarationpartners.com</t>
  </si>
  <si>
    <t>Deer Management Co. LLC</t>
  </si>
  <si>
    <t>https://www.bvp.com</t>
  </si>
  <si>
    <t>Financial Services, Energy, Healthcare</t>
  </si>
  <si>
    <t>20239.21</t>
  </si>
  <si>
    <t>Seeded from CapIQ export. Numeric fields are regex first-pass — crawler will confirm. capiq_description preserved for AI extraction fallback. | [extractor] Source page is for Bessemer Venture Partners (bvp.com), not Deer Management Co. LLC. No information found about target firm. Data extraction not possible.</t>
  </si>
  <si>
    <t>Diatom Capital LLC</t>
  </si>
  <si>
    <t>https://diatomcapital.com</t>
  </si>
  <si>
    <t>Seeded from CapIQ export. Numeric fields are regex first-pass — crawler will confirm. capiq_description preserved for AI extraction fallback. | [extractor] Operationally-focused PE firm specializing in aerospace and defense sector. Portfolio includes Diatom Aviation, Midwest Aero, and Industrial Electronic Services (IES). Focus on buyouts of established aerospace/MRO businesses. Portfolio companies show 22% operational efficiency improvement, 35% revenue growth within 24 months post-acquisition, and 95% key talent retention. Part of Foxhole Equity. Full acquisition criteria page was truncated in source material; HQ location not explicitly stated in provided content.</t>
  </si>
  <si>
    <t>Doxa Insurance Holdings, LLC</t>
  </si>
  <si>
    <t>https://doxa.com</t>
  </si>
  <si>
    <t>Seeded from CapIQ export. Numeric fields are regex first-pass — crawler will confirm. capiq_description preserved for AI extraction fallback. | [extractor] Page contains only website metadata and navigation structure. No investment criteria, fund details, or deal information present. Company operates in specialty insurance sector (confirmed from tagline: 'Fueling the exceptional in specialty insurance'). Leadership page title found but actual leadership/team content not in provided source. Full firm profile needed to extract investment criteria.</t>
  </si>
  <si>
    <t>Dynamic Core Capital Partners</t>
  </si>
  <si>
    <t>https://www.dynamiccorecapital.com</t>
  </si>
  <si>
    <t>Seeded from CapIQ export. Numeric fields are regex first-pass — crawler will confirm. capiq_description preserved for AI extraction fallback. | [extractor] Portfolio page contains no investment criteria, target company metrics, deal types, sectors, check sizes, or fund details. Only firm name and tagline ('Partnering with Management to Support Growth') visible. Full investment criteria documentation not found on this page. Requires review of additional pages (About, Investment Criteria) to extract actionable data.</t>
  </si>
  <si>
    <t>EMP Management, LLC</t>
  </si>
  <si>
    <t>Georgia</t>
  </si>
  <si>
    <t>Atlanta</t>
  </si>
  <si>
    <t>https://www.eaglemerchantpartners.com</t>
  </si>
  <si>
    <t>0.0</t>
  </si>
  <si>
    <t>840.64</t>
  </si>
  <si>
    <t>Seeded from CapIQ export. Numeric fields are regex first-pass — crawler will confirm. capiq_description preserved for AI extraction fallback. | [extractor] Firm is Eagle Merchant Partners (not EMP Management LLC as stated in query). HQ: One Buckhead Plaza, 3060 Peachtree Rd NW, Suite 970, Atlanta, GA 30305. Focus on lower middle market buyouts in Consumer Services and Commercial Services with Southeast and Texas geographic focus. First-time institutional capital provider. Revenue range $0-1M, EBITDA $2-20M. Multiple current and exited portfolio companies. Firm Overview PDF available at https://www.eaglemerchantpartners.com/images/home/EagleOne-Pager_September2025.pdf — not parsed. Active investor with 2024 Inc. Magazine recognition.</t>
  </si>
  <si>
    <t>EXA Capital, LLC</t>
  </si>
  <si>
    <t>https://www.exacapital.co</t>
  </si>
  <si>
    <t>Seeded from CapIQ export. Numeric fields are regex first-pass — crawler will confirm. capiq_description preserved for AI extraction fallback. | [extractor] EXA Capital is a PE firm specializing in enterprise software acquisitions with a permanent capital, buy-and-hold-forever model. HQ confirmed in Dallas, TX with additional offices in Toronto, Canada and Dunedin, New Zealand. Focuses on established enterprise software businesses with strong market positions and proprietary software. Portfolio companies include TeamEDA Inc., PrecisionCare Software, and Valicom Corporation. No financial metrics (AUM, check size, revenue/EBITDA criteria) disclosed on website.</t>
  </si>
  <si>
    <t>EagleTree Capital, LP</t>
  </si>
  <si>
    <t>https://www.eagletree.com</t>
  </si>
  <si>
    <t>Consumer, Business Services, Industrials</t>
  </si>
  <si>
    <t>4391.36</t>
  </si>
  <si>
    <t>Fund VI</t>
  </si>
  <si>
    <t>Seeded from CapIQ export. Numeric fields are regex first-pass — crawler will confirm. capiq_description preserved for AI extraction fallback. | [extractor] EagleTree Capital is a PE firm with multiple active funds (Fund III through Fund VI visible). Portfolio spans consumer, business services, industrials, and specialty manufacturing. Recent investments include The Opus Group (2026), NuTrail (2025), Summit Hill Foods (2023), MMGY (2023). Extensive exit history from 1990-2025. HQ location not explicitly stated on page. Specific check size ranges, revenue/EBITDA criteria, and AUM not disclosed.</t>
  </si>
  <si>
    <t>Edited capital</t>
  </si>
  <si>
    <t>https://www.editedcapital.com</t>
  </si>
  <si>
    <t>Seeded from CapIQ export. Numeric fields are regex first-pass — crawler will confirm. capiq_description preserved for AI extraction fallback. | [extractor] Portfolio page contains only website framework code and schema markup. Description states: 'We transform B2B tech companies into valuable technology platforms through strategic growth initiatives and operational expertise.' Inferred firm_type as PE and sector as Technology/B2B based on description. Activity marked Active due to recent page modification (2025-07-01). Critical data gaps: HQ location, AUM, fund details, check sizes, and specific investment criteria. Full investment criteria not accessible from this source page.</t>
  </si>
  <si>
    <t>Elysium Management LLC</t>
  </si>
  <si>
    <t>https://www.elysium-management.com</t>
  </si>
  <si>
    <t>Seeded from CapIQ export. Numeric fields are regex first-pass — crawler will confirm. capiq_description preserved for AI extraction fallback. | [extractor] Source page is a Plesk login portal with no investment criteria data. No firm information, fund details, investment preferences, or sector focus could be extracted. Appears to be a hosting/server management platform login page rather than firm website content.</t>
  </si>
  <si>
    <t>Energy Capital Partners, LLC</t>
  </si>
  <si>
    <t>https://www.ecpgp.com</t>
  </si>
  <si>
    <t>Energy, Infrastructure</t>
  </si>
  <si>
    <t>3194.88</t>
  </si>
  <si>
    <t>Seeded from CapIQ export. Numeric fields are regex first-pass — crawler will confirm. capiq_description preserved for AI extraction fallback. | [extractor] Energy Capital Partners is a PE firm focused on energy transition infrastructure, electricity, and sustainability. Website confirms control investments and operational enhancements as strategy. Specific investment criteria (ticket sizes, revenue/EBITDA ranges, fund details) not found on provided pages. HQ location not specified in content. ESG/responsibility reports available but not parsed for specific financial thresholds. Needs_review=true due to missing key financial criteria and HQ location data.</t>
  </si>
  <si>
    <t>Equality Asset Management, LP</t>
  </si>
  <si>
    <t>https://www.equalityassetmanagement.com</t>
  </si>
  <si>
    <t>Seeded from CapIQ export. Numeric fields are regex first-pass — crawler will confirm. capiq_description preserved for AI extraction fallback. | [extractor] EAM is a lower mid-market, growth-focused PE firm specializing exclusively in software and software-enabled services. Check size explicitly stated as $25M–$150M equity per investment. Deal types include buyout, growth equity, carve-out, and take-private per team bios. HQ city/state not confirmed from source content. Portfolio companies span govtech, compliance, fintech, hospitality software, behavioral health, ecommerce, and insurance tech. No fund name, vintage, or AUM data found. Team bios reference Boston-area backgrounds (KLR Boston office, etc.) but HQ not explicitly stated.</t>
  </si>
  <si>
    <t>Everest Group LLC</t>
  </si>
  <si>
    <t>Nebraska</t>
  </si>
  <si>
    <t>Omaha</t>
  </si>
  <si>
    <t>https://www.everestusa.net</t>
  </si>
  <si>
    <t>Buyout, Venture, Distressed</t>
  </si>
  <si>
    <t>Technology, Business Services</t>
  </si>
  <si>
    <t>Seeded from CapIQ export. Numeric fields are regex first-pass — crawler will confirm. capiq_description preserved for AI extraction fallback. | [extractor] Single Family Office based in Omaha, Nebraska. Explicitly states $1B+ AUM. Active in both venture capital (early-stage tech/SaaS/database startups) and private equity (service-based and technology businesses, including distressed assets). Notable early venture investments include Netflix, Yahoo, Facebook, ServiceNow, iRobot, Toast, PubMatic. Portfolio includes Express-Copy, UsInfoSearch, Jango Mail, Infofree, Database USA, Nightside, LocatePlus, A to Z Databases. Offers consulting services. Over 50 years entrepreneurial/operational experience. No specific check size, revenue/EBITDA criteria, or fund structure details disclosed.</t>
  </si>
  <si>
    <t>Exponent Private Equity LLP</t>
  </si>
  <si>
    <t>https://www.exponentpe.com</t>
  </si>
  <si>
    <t>5090.0</t>
  </si>
  <si>
    <t>Seeded from CapIQ export. Numeric fields are regex first-pass — crawler will confirm. capiq_description preserved for AI extraction fallback. | [extractor] PE firm established 2004, London-based, investing across Europe. Enterprise value range €150-500m confirmed. £3.8bn in funds raised (converted to ~$5.09bn USD). Currently investing from fifth fund. &gt;40 investments made to date. Situational specialists across industries (sector-agnostic/generalist). Focus on control acquisitions and transformational value creation consistent with buyout strategy. Geographic focus: UK, Ireland, and Europe—not US-focused.</t>
  </si>
  <si>
    <t>FINTOP, LLC</t>
  </si>
  <si>
    <t>https://www.fintopcapital.com</t>
  </si>
  <si>
    <t>Technology, Financial Services</t>
  </si>
  <si>
    <t>700.0</t>
  </si>
  <si>
    <t>Seeded from CapIQ export. Numeric fields are regex first-pass — crawler will confirm. capiq_description preserved for AI extraction fallback. | [extractor] Portfolio page shows 60+ fintech and financial services software companies invested. No explicit investment criteria, fund details, or headquarters location found on source page. Inferred as VC firm based on portfolio composition (early/growth-stage SaaS and fintech). All investments appear US-based. No financial metrics, check sizes, or fund information disclosed.</t>
  </si>
  <si>
    <t>FalconPoint Capital Partners LLC</t>
  </si>
  <si>
    <t>https://www.falconpointpartners.com</t>
  </si>
  <si>
    <t>Buyout, Growth Equity, Minority, Other</t>
  </si>
  <si>
    <t>845.11</t>
  </si>
  <si>
    <t>Seeded from CapIQ export. Numeric fields are regex first-pass — crawler will confirm. capiq_description preserved for AI extraction fallback. | [extractor] PE firm focused on industrial and business services sectors serving North America (US and Canada). Targets investments $100M+. Deal types include leveraged buyouts, growth equity (minority or majority), minority investments, structured/preferred equity, and corporate carve-outs. Team has deployed $25B+ over three decades. HQ location not explicitly stated on website. Fund details and current AUM not provided.</t>
  </si>
  <si>
    <t>Falfurrias Management Partners LP</t>
  </si>
  <si>
    <t>https://falfurrias.com</t>
  </si>
  <si>
    <t>3712.07</t>
  </si>
  <si>
    <t>Seeded from CapIQ export. Numeric fields are regex first-pass — crawler will confirm. capiq_description preserved for AI extraction fallback. | [extractor] Only 'Our Approach' page content provided, which contains general description of team composition (operators, financial services professionals, in-house value creation teams) but no specific investment criteria, deal sizes, sectors, geographies, or fund information. Firm type inferred as PE based on operational focus and value creation approach, but requires additional pages (portfolio, investment criteria, fund details) for complete data extraction.</t>
  </si>
  <si>
    <t>Fengate Capital Management Ltd.</t>
  </si>
  <si>
    <t>Toronto</t>
  </si>
  <si>
    <t>https://www.fengate.com</t>
  </si>
  <si>
    <t>Healthcare, Business Services, Consumer</t>
  </si>
  <si>
    <t>40000.0</t>
  </si>
  <si>
    <t>Seeded from CapIQ export. Numeric fields are regex first-pass — crawler will confirm. capiq_description preserved for AI extraction fallback. | [extractor] Fengate Capital Management Ltd. is a 50+ year old Canadian PE/infrastructure firm with offices in Toronto, Oakville, Miami, and Houston. Website confirms PE investment activity in business services, healthcare, and consumer staples, plus infrastructure and real estate. Described as 'one of North America's most active real asset and equity investors.' No explicit deal size, fund size, or detailed investment criteria disclosed on this page. Confidence is Medium due to lack of specific financial thresholds. Needs review: firm appears to be multi-strategy (PE, infrastructure, real estate, VC) but primary classification as PE is inferred from 'Private Equity' section listing.</t>
  </si>
  <si>
    <t>Firelight Capital Partners</t>
  </si>
  <si>
    <t>Miami</t>
  </si>
  <si>
    <t>https://www.firelightcapital.com</t>
  </si>
  <si>
    <t>Consumer, Retail</t>
  </si>
  <si>
    <t>Seeded from CapIQ export. Numeric fields are regex first-pass — crawler will confirm. capiq_description preserved for AI extraction fallback. | [extractor] Founded 2016, based in Miami FL. Invests in branded consumer &amp; retail companies. Explicit investment criteria provided: revenue $25-100M, EBITDA $3-15M, majority stakes ($10-30M per investment), US-based with global reach. Primary categories: Apparel/Accessories, Health &amp; Wellness, Pet, Beauty &amp; Personal Care, Food &amp; Beverage, Footwear, Home Décor, Outdoor. Current and past portfolio investments confirmed. Investment team has 70+ years collective experience deploying $750M+ across 20+ consumer growth companies.</t>
  </si>
  <si>
    <t>First Reserve Management, L.P.</t>
  </si>
  <si>
    <t>https://www.firstreserve.com</t>
  </si>
  <si>
    <t>6314.61</t>
  </si>
  <si>
    <t>Seeded from CapIQ export. Numeric fields are regex first-pass — crawler will confirm. capiq_description preserved for AI extraction fallback. | [extractor] Founded 1983. Primary HQ Houston, TX with secondary office in Stamford, CT. Focuses on Infrastructure Solutions, Value-Added Infrastructure, and Resources strategies. 750+ transactions completed across 6 continents. Over $34B aggregate capital raised. Sector focus: energy, utility, industrial markets. Portfolio page shows multiple active funds (FR Evolution I/II, Fund XIII, FRAOF, FRIOF, FR Refuel Fund, etc.). Deal types inferred as buyout/control based on platform and add-on acquisition language. Specific investment criteria (check size, revenue/EBITDA ranges) not disclosed on pages provided.</t>
  </si>
  <si>
    <t>Fitt Insider, Inc.</t>
  </si>
  <si>
    <t>https://insider.fitt.co</t>
  </si>
  <si>
    <t>Seeded from CapIQ export. Numeric fields are regex first-pass — crawler will confirm. capiq_description preserved for AI extraction fallback. | [extractor] Fitt Insider is primarily a media/newsletter/podcast company focused on health, fitness, and wellness. However, testimonials reference Anthony Vennare as a value-add investor in companies such as TrueMed, Recover Athletics, KAYA Climb, and Sauna House. No formal investment criteria, fund details, check sizes, or deal types are disclosed. Firm appears to do angel/early-stage investing as a side activity. No PDF or formal criteria page found.</t>
  </si>
  <si>
    <t>Flacks Group</t>
  </si>
  <si>
    <t>https://flacksgroup.com</t>
  </si>
  <si>
    <t>7000.0</t>
  </si>
  <si>
    <t>Seeded from CapIQ export. Numeric fields are regex first-pass — crawler will confirm. capiq_description preserved for AI extraction fallback. | [extractor] Flacks Group is a PE firm acquiring mid-market companies $250m-$7bn revenue globally. Focus on carve-outs, spin-offs, and divestitures. Majority stakes/complete takeovers. Equity ticket up to $500m. Preferred sectors: chemical, industrial, healthcare, business services, consumer &amp; retail, power &amp; energy, automotive, oil &amp; gas, metals &amp; mining, aerospace &amp; defence. Current portfolio includes Kelly-Moore Paints, Pleuger, Aldrich, No Nonsense Beauty, Nottinghill Living. Also has significant real estate holdings ($1bn+ globally) and liability solutions practice. Brochure available: https://www.flacksgroup.com/wp-content/uploads/2026/04/Flacks_Group_Brochure.pdf</t>
  </si>
  <si>
    <t>Forge52 Capital Partners, LLC</t>
  </si>
  <si>
    <t>https://www.forge52.com</t>
  </si>
  <si>
    <t>Seeded from CapIQ export. Numeric fields are regex first-pass — crawler will confirm. capiq_description preserved for AI extraction fallback. | [extractor] Platform acquisition criteria clearly stated: manufacturing, B2B sales model, $3M+ EBITDA, North America HQ, private/family/management/founder-owned. Also pursues add-on acquisitions and recaps/management buyouts/generational transitions. Portfolio company Logomark (promotional products supplier) confirmed. Factsheet PDF available at https://www.forge52.com/s/Forge52-One-Pager.pdf but not parsed. Secondary office in Dallas, TX.</t>
  </si>
  <si>
    <t>Fortress Investment Group LLC</t>
  </si>
  <si>
    <t>https://www.fortress.com</t>
  </si>
  <si>
    <t>Real Estate, Financial Services, Industrials</t>
  </si>
  <si>
    <t>Seeded from CapIQ export. Numeric fields are regex first-pass — crawler will confirm. capiq_description preserved for AI extraction fallback. | [extractor] Fortress is a multi-strategy investment firm with PE operations (Middle-Market Private Equity identified). Broad business lines include Corporate Credit, Asset-Based Finance, Real Estate (debt/equity/net lease), Private Equity, Insurance Solutions, and Multi-Manager strategies. No specific investment criteria, ticket sizes, revenue targets, or fund details provided on these overview pages. HQ location, AUM, and specific deal parameters require additional research. Activity appears active based on current website presence.</t>
  </si>
  <si>
    <t>Forward Consumer Partners, LLC</t>
  </si>
  <si>
    <t>https://www.forwardconsumerpartners.com</t>
  </si>
  <si>
    <t>425.0</t>
  </si>
  <si>
    <t>Seeded from CapIQ export. Numeric fields are regex first-pass — crawler will confirm. capiq_description preserved for AI extraction fallback. | [extractor] Forward Consumer Partners founded 2023. Lower-middle market consumer focus. Investment range $25-250M+ revenue. Core strategy targets consumer brands with strong brand differentiation and repeat purchase behavior. Secondary 'Fast Forward' strategy for unique advantages. Offices in Greenwich CT and New York NY. No specific check size, EBITDA, or EV criteria disclosed. No fund size or vintage details beyond founding year.</t>
  </si>
  <si>
    <t>Foundation Investment Partners, LLC</t>
  </si>
  <si>
    <t>https://www.foundationpartners.net</t>
  </si>
  <si>
    <t>Seeded from CapIQ export. Numeric fields are regex first-pass — crawler will confirm. capiq_description preserved for AI extraction fallback. | [extractor] Foundation Investment Partners operates as a PE firm focused on control acquisitions and operational improvement. Portfolio includes Amspak (packaging, active), Spartan Tool Supply (industrial distribution, active), Discount Drainage Supplies (exited to Winsupply), and Miljoco (exited). Investment approach emphasizes collaborative partnerships, operational support, and sustainable growth. HQ location and AUM not disclosed on provided pages. No explicit check size or financial criteria provided. Confidence is Medium due to lack of explicit investment criteria; needs_review flagged due to limited quantitative data on fund specifics.</t>
  </si>
  <si>
    <t>Franchise Equity Partners</t>
  </si>
  <si>
    <t>https://www.fep-us.com</t>
  </si>
  <si>
    <t>1500.0</t>
  </si>
  <si>
    <t>2025-12-04</t>
  </si>
  <si>
    <t>Seeded from CapIQ export. Numeric fields are regex first-pass — crawler will confirm. capiq_description preserved for AI extraction fallback. | [extractor] FEP focuses exclusively on the franchise sector, providing minority (20-49%) passive, permanent, flexible capital to founder/family-owned franchise operators. $1.5B committed capital stated on homepage. Most recent deal: acquisition of IMO Car Wash (international) from Driven Brands for ~€406M (~$471.9M-$606M depending on source), announced Dec 2025. No explicit check size, revenue, or EBITDA criteria disclosed. HQ city/state not confirmed from scraped pages. IMO Car Wash deal is international (UK, Germany, Europe, Australia), suggesting FEP also invests outside the US. us_investments set to 'primarily' given domestic franchise focus but confirmed international deal activity.</t>
  </si>
  <si>
    <t>Francisco Partners Management, L.P.</t>
  </si>
  <si>
    <t>https://www.franciscopartners.com</t>
  </si>
  <si>
    <t>50000.0</t>
  </si>
  <si>
    <t>Seeded from CapIQ export. Numeric fields are regex first-pass — crawler will confirm. capiq_description preserved for AI extraction fallback. | [extractor] Francisco Partners is a leading technology-focused PE firm with 25+ years of track record, ~$50B capital raised, 450+ transactions, 100% tech &amp; tech-enabled services focus. Firm operates both private equity and credit strategies. HQ: San Francisco, CA with offices in London and New York. Named to GrowthCap's Top Growth Equity Firms of 2025, indicating growth equity activity alongside large buyouts (ranked top 3 in HEC Paris-Dow Jones large buyout performance). No specific check size, revenue, or EBITDA criteria found on website.</t>
  </si>
  <si>
    <t>Freeman Spogli Management Co., L.P.</t>
  </si>
  <si>
    <t>https://www.freemanspogli.com</t>
  </si>
  <si>
    <t>Seeded from CapIQ export. Numeric fields are regex first-pass — crawler will confirm. capiq_description preserved for AI extraction fallback. | [extractor] PE firm specializing in middle-market buyouts in consumer and distribution sectors. 40+ year history. Offices in Los Angeles and New York. Portfolio of 72+ companies indicates active deal flow. Firm Brochure PDF available at: https://assets-freeman-spogli.s3.us-west-2.amazonaws.com/system/uploads/fae/file/asset/10/Freeman_Spogli_Firm_Brochure_May_2026.pdf (not parsed). No specific fund details, check sizes, or valuation ranges disclosed on website.</t>
  </si>
  <si>
    <t>Friedman Capital</t>
  </si>
  <si>
    <t>D.C.</t>
  </si>
  <si>
    <t>https://www.friedmancap.com</t>
  </si>
  <si>
    <t>Seeded from CapIQ export. Numeric fields are regex first-pass — crawler will confirm. capiq_description preserved for AI extraction fallback. | [extractor] Only contact information and basic firm location available on homepage. No investment criteria, fund details, deal types, sectors, check sizes, or historical activity data found. Website appears to lack substantive investment information.</t>
  </si>
  <si>
    <t>Frontenac Company LLC</t>
  </si>
  <si>
    <t>https://www.frontenac.com</t>
  </si>
  <si>
    <t>Seeded from CapIQ export. Numeric fields are regex first-pass — crawler will confirm. capiq_description preserved for AI extraction fallback. | [extractor] Control ownership buyouts targeting North America-based companies with differentiated products/services and strong incumbent teams. Three dedicated industry verticals: Consumer, Industrial, and Services. Explicit EBITDA range $5M–$40M and equity check size $50M–$150M. Portfolio evidence includes pet brands consolidation, transmission/industrial, and training platform deals.</t>
  </si>
  <si>
    <t>Fruition Partners</t>
  </si>
  <si>
    <t>CO</t>
  </si>
  <si>
    <t>Denver</t>
  </si>
  <si>
    <t>https://www.fruitionpe.com</t>
  </si>
  <si>
    <t>Seeded from CapIQ export. Numeric fields are regex first-pass — crawler will confirm. capiq_description preserved for AI extraction fallback. | [extractor] Website page contains only HTML structure and schema markup with no substantive investment criteria content. Confirmed: firm_type=PE, headquarter location Denver, CO from schema description. Page title indicates 'Approach' section but actual content not provided. Detailed investment criteria (deal types, sectors, check sizes, AUM, etc.) not found. Requires review of actual page content or additional sources.</t>
  </si>
  <si>
    <t>Fundamental Advisors, LP</t>
  </si>
  <si>
    <t>https://www.fundamental.com</t>
  </si>
  <si>
    <t>Buyout, Distressed, Other</t>
  </si>
  <si>
    <t>Real Estate, Healthcare, Infrastructure</t>
  </si>
  <si>
    <t>4000.0</t>
  </si>
  <si>
    <t>Fundamental Partners</t>
  </si>
  <si>
    <t>Seeded from CapIQ export. Numeric fields are regex first-pass — crawler will confirm. capiq_description preserved for AI extraction fallback. | [extractor] Fundamental Partners is a special situations investment strategy focused on municipal markets and public purpose assets. $4B+ invested across 200+ deals in 35+ states. Primary strategies: control-oriented debt/real assets, direct lending &amp; specialty finance, and credit/opportunistic municipal securities. Key sectors: affordable/workforce/transitional housing (200+ properties, 45K+ units), senior care (56+ properties, 18K+ units), renewable energy (solar lending platform, 7GW+ financed), and infrastructure/community redevelopment. Firm acquires controlling interests, distressed debt, and minority positions in municipal securities.</t>
  </si>
  <si>
    <t>Fusion Capital Partners, LP</t>
  </si>
  <si>
    <t>https://www.fcpartners.com</t>
  </si>
  <si>
    <t>Seeded from CapIQ export. Numeric fields are regex first-pass — crawler will confirm. capiq_description preserved for AI extraction fallback. | [extractor] Fusion Capital Partners is a PE firm focused on engineered product and essential service businesses in commercial/industrial markets. EBITDA target of ~$10-30M confirmed. Seeks majority control positions with North American HQ and openness to international operations. Growth-oriented via organic initiatives and strategic M&amp;A (buy-and-build). No specific AUM, fund vintage, or HQ location disclosed. Portfolio page exists but lacks detail. No recent deal dates visible in provided content.</t>
  </si>
  <si>
    <t>Future Standard</t>
  </si>
  <si>
    <t>https://www.futurestandard.com</t>
  </si>
  <si>
    <t>86000.0</t>
  </si>
  <si>
    <t>Seeded from CapIQ export. Numeric fields are regex first-pass — crawler will confirm. capiq_description preserved for AI extraction fallback. | [extractor] Page contains only embedded JavaScript code for chart visualization (hypogrowth and nav history charts). No investment criteria, fund details, sector focus, deal types, check sizes, or geographic information could be extracted. The page appears to be a performance/returns visualization page rather than an investment criteria page. Full firm criteria data not found on this page.</t>
  </si>
  <si>
    <t>GHK Capital Partners LP</t>
  </si>
  <si>
    <t>https://www.ghk.com</t>
  </si>
  <si>
    <t>2800.0</t>
  </si>
  <si>
    <t>GHK Fund II</t>
  </si>
  <si>
    <t>Seeded from CapIQ export. Numeric fields are regex first-pass — crawler will confirm. capiq_description preserved for AI extraction fallback. | [extractor] Founded 2018. Middle-market PE firm focused on control investments in industrial companies across North America. Target EBITDA $20-50+M. Equity investment size $100-300+M. Portfolio companies include CPL, Corvant, Horizon Global, WSB Engineering, JohnsByrne, Auveco, ITS Logistics, Hasa Inc, Supreme Cabinetry, Brown &amp; Settle. Multiple funds identified (Fund I, Fund II, Pre-Fund). AUM stated as $2.8+ billion.</t>
  </si>
  <si>
    <t>GHO Capital Partners LLP</t>
  </si>
  <si>
    <t>https://ghocapital.com</t>
  </si>
  <si>
    <t>10547.29</t>
  </si>
  <si>
    <t>Seeded from CapIQ export. Numeric fields are regex first-pass — crawler will confirm. capiq_description preserved for AI extraction fallback. | [extractor] Source page (https://ghocapital.com/healthcare/portfolio) contains only obfuscated JavaScript code for performance optimization. No investment criteria, fund information, or portfolio data could be extracted. Website appears to require JavaScript rendering to display content. Unable to confirm any firm details.</t>
  </si>
  <si>
    <t>GI Manager L.P.</t>
  </si>
  <si>
    <t>https://www.gipartners.com</t>
  </si>
  <si>
    <t>Technology, Real Estate, Industrials</t>
  </si>
  <si>
    <t>Seeded from CapIQ export. Numeric fields are regex first-pass — crawler will confirm. capiq_description preserved for AI extraction fallback. | [extractor] GI Partners operates PE, real estate, and data infrastructure investment groups. Digital Realty Trust reference suggests operational buyout approach. No explicit HQ location, AUM, check size, or financial thresholds found on provided pages. Sectoral focus inferred from three business lines mentioned. Confidence Medium due to lack of specific investment criteria details; needs_review true because detailed sector/financial criteria not explicitly stated. Recommend visiting /private-equity/at-a-glance, /real-estate/at-a-glance, and /data-infrastructure/at-a-glance pages for specifics.</t>
  </si>
  <si>
    <t>GOAT Industries Ltd. (CNSX:GOAT)</t>
  </si>
  <si>
    <t>https://www.goat-industries.com</t>
  </si>
  <si>
    <t>Seeded from CapIQ export. Numeric fields are regex first-pass — crawler will confirm. capiq_description preserved for AI extraction fallback. | [extractor] GOAT Industries Ltd. (CNSX:GOAT) is an operational manufacturing/fabrication business, not a PE/VC firm. Website content describes custom fabrication services, machine installation, and product sales (JIB booms, trailers, truck decks, etc.). No investment criteria, fund information, portfolio companies, or PE/VC activity detected. This appears to be a misclassified entry or incorrect company lookup.</t>
  </si>
  <si>
    <t>GTCR LLC</t>
  </si>
  <si>
    <t>Illinois</t>
  </si>
  <si>
    <t>https://www.gtcr.com</t>
  </si>
  <si>
    <t>Technology, Healthcare, Financial Services</t>
  </si>
  <si>
    <t>Business Services, Media</t>
  </si>
  <si>
    <t>46660.61</t>
  </si>
  <si>
    <t>Seeded from CapIQ export. Numeric fields are regex first-pass — crawler will confirm. capiq_description preserved for AI extraction fallback. | [extractor] GTCR is a mature PE buyout firm founded in 1980. HQ confirmed at 300 N. LaSalle St., Chicago, IL 60654. Four sector focus areas confirmed: Financial Services &amp; Technology, Healthcare, Technology/Media/Telecommunications, and Business &amp; Consumer Services. Strong acquisition activity documented: 40+ platform acquisitions and 450+ add-on acquisitions since 2000 across all sectors; $55B+ total purchase price in Financial Services &amp; Technology and $35B+ in TMT since 2000. Over 40 companies taken public. Firm emphasizes buyout/control acquisition strategy with buy-and-build approach. No explicit fund name, vintage year, AUM, or specific deal size criteria disclosed on provided pages. Acquisition activity indicates current active status.</t>
  </si>
  <si>
    <t>Gamut Capital Management, L.P.</t>
  </si>
  <si>
    <t>https://www.gamutcapital.com</t>
  </si>
  <si>
    <t>3049.17</t>
  </si>
  <si>
    <t>2026-05-11</t>
  </si>
  <si>
    <t>Seeded from CapIQ export. Numeric fields are regex first-pass — crawler will confirm. capiq_description preserved for AI extraction fallback. | [extractor] Gamut Capital Management is a PE firm founded in 2015 by Stan Parker and Jordan Zaken (both ex-Apollo Global Management). Portfolio shows diversified industrials/business services focus with 12+ portfolio companies. Latest deal activity May 2026 (Acousti). HQ confirmed at 250 West 55th Street, 25th Floor, New York, NY 10019. Firm_type inferred as PE based on control-oriented buyout activity and portfolio composition. Specific investment criteria (check size, revenue/EBITDA targets, AUM) not disclosed on provided pages.</t>
  </si>
  <si>
    <t>Garden City Management, LLC</t>
  </si>
  <si>
    <t>https://www.gardencityequity.com</t>
  </si>
  <si>
    <t>343.75</t>
  </si>
  <si>
    <t>Seeded from CapIQ export. Numeric fields are regex first-pass — crawler will confirm. capiq_description preserved for AI extraction fallback. | [extractor] Garden City describes itself as a 'holding company, not a private equity firm' but operates as PE with founder/family-owned business acquisitions. Explicitly targets $5-25M+ annual net income with 10%+ net margins and 10+ years operational history. Uses little/no debt. No geographic HQ identified. Backed by 200+ families. No fund-specific data, AUM, or specific vintage year disclosed. Contact: 404-383-9233, info@gardencityequity.com</t>
  </si>
  <si>
    <t>Gauge Capital LLC</t>
  </si>
  <si>
    <t>Southlake</t>
  </si>
  <si>
    <t>https://www.gaugecapital.com</t>
  </si>
  <si>
    <t>Healthcare, Consumer, Business Services</t>
  </si>
  <si>
    <t>Seeded from CapIQ export. Numeric fields are regex first-pass — crawler will confirm. capiq_description preserved for AI extraction fallback. | [extractor] Gauge Capital is a PE firm based in Southlake, TX. Investment criteria clearly stated: $50-500M enterprise value, $5M+ EBITDA, $7M+ ARR for high-growth businesses. Does both majority and minority investments with significant founder rollover. Portfolio includes healthcare (Urology America), consumer/CPG (Clean Simple Eats, Chaac Foods), business services (SAGO, CENTEGIX, NINJIO), and beauty (Beauty Industry Group). No sector exclusions stated. Firm Overview PDF referenced but not parsed: https://www.gaugecapital.com/images/home/GaugeCapital-FirmOverview_Q42023____.pdf. Fund details, AUM, and vintage year not disclosed on public pages.</t>
  </si>
  <si>
    <t>Gemspring Capital LLC</t>
  </si>
  <si>
    <t>https://www.gemspring.com</t>
  </si>
  <si>
    <t>Buyout, Growth Equity, Recap, Other</t>
  </si>
  <si>
    <t>5000.0</t>
  </si>
  <si>
    <t>Seeded from CapIQ export. Numeric fields are regex first-pass — crawler will confirm. capiq_description preserved for AI extraction fallback. | [extractor] Gemspring Capital founded 2015. Explicit investment criteria listed on website. Deal types confirmed: Corporate Carve-outs/Divestitures, Growth Equity, Leveraged Buyouts, Preferred Equity, Recapitalizations, Restructurings, Strategic Debt, Structured Equity. Sector focus: Aerospace &amp; Defense, Business Services, Consumer Services, Financial &amp; Insurance Services, Healthcare, Industrials, Software, Tech-Enabled Services. Targets middle market companies primarily in US and Canada. Large team with 40+ investment professionals. Brochure PDF available but not parsed: https://www.gemspring.com/wp-content/uploads/2026/06/6-5-26-Gemspring-Capital-Brochure.pdf</t>
  </si>
  <si>
    <t>GenNx360 Management Company, LLC</t>
  </si>
  <si>
    <t>https://www.gennx360.com</t>
  </si>
  <si>
    <t>2688.75</t>
  </si>
  <si>
    <t>Seeded from CapIQ export. Numeric fields are regex first-pass — crawler will confirm. capiq_description preserved for AI extraction fallback. | [extractor] GenNx360 is a PE firm focused on North America-based middle market industrial and business services companies. Explicit focus on control positions via buyouts with buy-and-build strategy. Six funds mentioned (Fund I–IV plus Aerospace Fund and Gear Fund). Two office locations noted: New York (590 Madison Ave, 27th Floor) and secondary address (200 Madison Ave, Suite 2110). 30+ operational and investment professionals with 150+ years collective experience. Investment criteria document links found but PDFs not parsed: https://www.gennx360.com/images/Strategy/WhitePapaer/THE_PRODUCTIVITY_ENABLER.pdf and https://www.gennx360.com/images/Strategy/WhitePapaer/RETAINED_ADVISORS_FOR_DEAL_AND_PORTFOLIO_OPERATIONS_SUPPORT.pdf. No explicit check size, AUM, fund vintage, or financial metrics (revenue/EBITDA/EV ranges) disclosed on pages reviewed.</t>
  </si>
  <si>
    <t>General Atlantic Service Company, L.P.</t>
  </si>
  <si>
    <t>https://www.generalatlantic.com</t>
  </si>
  <si>
    <t>Seeded from CapIQ export. Numeric fields are regex first-pass — crawler will confirm. capiq_description preserved for AI extraction fallback. | [extractor] Source page contained only JavaScript code/analytics tracking scripts with no investment criteria, firm details, or fund information. No investable data could be extracted. Actual firm information not present in provided content.</t>
  </si>
  <si>
    <t>Good Springs Capital LP</t>
  </si>
  <si>
    <t>https://goodspringscap.com</t>
  </si>
  <si>
    <t>600.0</t>
  </si>
  <si>
    <t>2026-05-13</t>
  </si>
  <si>
    <t>Seeded from CapIQ export. Numeric fields are regex first-pass — crawler will confirm. capiq_description preserved for AI extraction fallback. | [extractor] Good Springs Capital LP established 2023. Inaugural fund raised $570M in Jan 2025, exceeding $600M in AUM. Focus on middle-market platform companies in industrials and services with majority control positions or minority leading to majority. Team previously built Alleghany Capital (2013-2023) with 8 portfolio companies generating ~$5B revenue in 2022. Recent deals include Snyder Environmental Services (May 2026), Falasca Mechanical (Oct 2025), Kimbel Mechanical add-on Gibson Plumbing (May 2025), Tectonic Engineering (Oct 2024). HQ: 1450 Broadway, 39th Floor, New York, NY 10018.</t>
  </si>
  <si>
    <t>Graham Partners, LLC</t>
  </si>
  <si>
    <t>https://www.grahampartners.net</t>
  </si>
  <si>
    <t>Seeded from CapIQ export. Numeric fields are regex first-pass — crawler will confirm. capiq_description preserved for AI extraction fallback. | [extractor] Investment criteria explicitly stated on approach page. Control buyouts of advanced manufacturing and related services with EBITDA $5-50MM and margins ≥10%. Primarily North America headquartered. Three sector focuses: Industrial Technology, Medical Devices &amp; Life Sciences, Food &amp; Consumer Essentials. HQ location not specified on provided content. No fund details, AUM, or specific deal dates found.</t>
  </si>
  <si>
    <t>Grant Avenue Capital, LLC</t>
  </si>
  <si>
    <t>https://grantave.com</t>
  </si>
  <si>
    <t>Seeded from CapIQ export. Numeric fields are regex first-pass — crawler will confirm. capiq_description preserved for AI extraction fallback. | [extractor] Healthcare-focused PE firm founded 2019. Explicit EBITDA targets $5-25M. Deal structures: recapitalizations, buyouts, carve-outs, buy-and-builds. Four core investment themes: cost containment, custom solutions, consumerism, compliance. Sub-sectors: Healthcare Services, Pharma Services, Medtech, Healthcare IT. Current portfolio of 8 companies across home health, clinical research, medical equipment, consulting, ambulance services, supplements. Multiple prior investments noted but attributed to team members at other firms.</t>
  </si>
  <si>
    <t>Graycliff Partners LP</t>
  </si>
  <si>
    <t>https://www.graycliffpartners.com</t>
  </si>
  <si>
    <t>1783.3</t>
  </si>
  <si>
    <t>2026-04</t>
  </si>
  <si>
    <t>Seeded from CapIQ export. Numeric fields are regex first-pass — crawler will confirm. capiq_description preserved for AI extraction fallback. | [extractor] Portfolio page shows firm operates in lower middle-market with Equity, Credit, and Equity-Ascend strategies. Portfolio companies span manufacturing, service, and distribution businesses. Headquarters location not confirmed. Multiple active deals through 2026. Deal structures suggest buyout approach with add-on acquisition focus. No explicit investment criteria (size, EBITDA, revenue thresholds) provided on pages reviewed. AUM and fund details not disclosed. Confidence medium due to limited explicit criteria data despite clear activity.</t>
  </si>
  <si>
    <t>Great Hill Partners, LP</t>
  </si>
  <si>
    <t>https://www.greathillpartners.com</t>
  </si>
  <si>
    <t>Financial Services, Healthcare, Industrials</t>
  </si>
  <si>
    <t>18994.16</t>
  </si>
  <si>
    <t>Seeded from CapIQ export. Numeric fields are regex first-pass — crawler will confirm. capiq_description preserved for AI extraction fallback. | [extractor] Source content appears to be website HTML/CSS markup only with no investment criteria, fund information, or company details visible. No substantive investment data could be extracted. Requires review of actual content pages or investment documents.</t>
  </si>
  <si>
    <t>Greater Sum Ventures, LLC</t>
  </si>
  <si>
    <t>Tennessee</t>
  </si>
  <si>
    <t>https://www.greatersumventures.com</t>
  </si>
  <si>
    <t>Growth Equity, Buyout</t>
  </si>
  <si>
    <t>5400.0</t>
  </si>
  <si>
    <t>Seeded from CapIQ export. Numeric fields are regex first-pass — crawler will confirm. capiq_description preserved for AI extraction fallback. | [extractor] Self-funded firm (no formal funds, no LPs). Tennessee-based. Focuses on founder-led vertical software and tech-enabled service companies in the lower middle market. Target criteria explicitly stated: PMF, $3M+ ARR, low customer churn, high revenue retention, appetite for growth. Revenue range on portfolio page mentions companies from under $1M to over $100M. 24 platforms scaled over 10 years, 300+ acquisitions, 6 unicorns (&gt;$1B value). AUM of $5.4B as of 9/15/2025 includes discretionary, non-discretionary, and administered assets. Strategy is buy-and-build / platform compounding. No formal fund structure — capital is proprietary. City within Tennessee not specified.</t>
  </si>
  <si>
    <t>Greenbelt Capital Management L.P.</t>
  </si>
  <si>
    <t>https://www.greenbeltcapital.com</t>
  </si>
  <si>
    <t>Buyout, Recap, Growth Equity</t>
  </si>
  <si>
    <t>Energy</t>
  </si>
  <si>
    <t>3189.75</t>
  </si>
  <si>
    <t>Fund III</t>
  </si>
  <si>
    <t>Seeded from CapIQ export. Numeric fields are regex first-pass — crawler will confirm. capiq_description preserved for AI extraction fallback. | [extractor] Explicit investment criteria stated on thesis page: typically invests $100-250MM equity per deal. Focus exclusively on energy economy (power generation, grid modernization, electrification, storage, AI infrastructure energy). Deal types include change of control buyouts, recapitalizations, generational transitions, growth and acquisition capital. Targets control or co-control transactions. Firm founded in 2021; has sub-advisory arrangement with Trilantic Capital Management L.P. Portfolio page references 'Fund III' and 'Legacy' funds. HQ in Austin, TX with additional office in New York, NY. No AUM or fund vintage year explicitly stated. Portfolio companies include AEGIS Hedging Solutions, CTC Global, ION Solar, Peak Utility Services, Saber Power Services, Unirac.</t>
  </si>
  <si>
    <t>Greenbriar Equity Group, L.P.</t>
  </si>
  <si>
    <t>https://www.greenbriar.com</t>
  </si>
  <si>
    <t>Financial Services, Industrials, Infrastructure</t>
  </si>
  <si>
    <t>Seeded from CapIQ export. Numeric fields are regex first-pass — crawler will confirm. capiq_description preserved for AI extraction fallback. | [extractor] Investment Strategy page accessed but contains only generic WordPress template markup and CSS. No actual investment criteria content found. Page mentions 'specialization, focus on growth, and culture' in meta description but no substantive data extracted. Requires review of additional firm pages or documents to populate database fields.</t>
  </si>
  <si>
    <t>GreyLion Partners LP</t>
  </si>
  <si>
    <t>https://www.greylion.com</t>
  </si>
  <si>
    <t>Financial Services, Industrials, Healthcare</t>
  </si>
  <si>
    <t>2111.39</t>
  </si>
  <si>
    <t>Seeded from CapIQ export. Numeric fields are regex first-pass — crawler will confirm. capiq_description preserved for AI extraction fallback. | [extractor] Fact sheet PDF available at /s/GreyLion-Fact-Sheet-May-2026.pdf but content not provided. Portfolio page loaded but only navigation elements and CSS visible; no investment criteria, fund details, or portfolio company information extracted. Page mentions LIFT Framework and team but details not accessible. Requires review of actual PDF and 'who-we-are' and portfolio detail pages.</t>
  </si>
  <si>
    <t>Greybull Stewardship LLC</t>
  </si>
  <si>
    <t>https://www.greybullstewardship.com</t>
  </si>
  <si>
    <t>Buyout, Growth Equity, Recap</t>
  </si>
  <si>
    <t>Seeded from CapIQ export. Numeric fields are regex first-pass — crawler will confirm. capiq_description preserved for AI extraction fallback. | [extractor] Investment criteria clearly stated on portfolio page: $5-50M revenue, &lt;$5M EBITDA, US-based companies. Primary focus: Business Services, Education, Franchising, Manufacturing, SaaS. Transaction types include Buyout, Growth Capital, Shareholder Liquidity, Recapitalizations. Prefer majority ownership but minority possible. Portfolio shows active investments through 2025. Headquarters location not disclosed on provided content.</t>
  </si>
  <si>
    <t>Gridiron Capital, LLC</t>
  </si>
  <si>
    <t>https://www.gridironcapital.com</t>
  </si>
  <si>
    <t>9523.34</t>
  </si>
  <si>
    <t>Seeded from CapIQ export. Numeric fields are regex first-pass — crawler will confirm. capiq_description preserved for AI extraction fallback. | [extractor] Source page returned only minified JavaScript code and New Relic tracking scripts—no readable investment criteria or firm information present. Unable to extract any investment data. Actual firm website content not captured.</t>
  </si>
  <si>
    <t>Grovecourt Capital Partners</t>
  </si>
  <si>
    <t>West Palm Beach</t>
  </si>
  <si>
    <t>https://www.grovecourtcapital.com</t>
  </si>
  <si>
    <t>Seeded from CapIQ export. Numeric fields are regex first-pass — crawler will confirm. capiq_description preserved for AI extraction fallback. | [extractor] Lower-middle market PE firm with explicit focus on buyouts of growing companies. Four target sectors identified: Industrials, Healthcare, Communication Services, and Business Services. HQ confirmed in West Palm Beach, FL. No fund information, AUM, check sizes, or financial metrics disclosed on website.</t>
  </si>
  <si>
    <t>Growth Catalyst Partners, L.P.</t>
  </si>
  <si>
    <t>https://www.growthcatalystpartners.com</t>
  </si>
  <si>
    <t>1010.88</t>
  </si>
  <si>
    <t>Seeded from CapIQ export. Numeric fields are regex first-pass — crawler will confirm. capiq_description preserved for AI extraction fallback. | [extractor] Portfolio page accessed but contains only schema markup and CSS code. No substantive investment criteria, fund details, or portfolio company information visible. Website structure suggests active firm with portfolio, but actual criteria data not extractable from this page. Recommend accessing main firm page, about section, or fund documents for investment criteria.</t>
  </si>
  <si>
    <t>GrowthCurve Capital, LP</t>
  </si>
  <si>
    <t>https://www.growthcurvecapital.com</t>
  </si>
  <si>
    <t>Information Services</t>
  </si>
  <si>
    <t>Seeded from CapIQ export. Numeric fields are regex first-pass — crawler will confirm. capiq_description preserved for AI extraction fallback. | [extractor] PE firm with control-oriented investment strategy focused on data-rich, growth-focused businesses. Three core sectors explicitly stated: Technology &amp; Information Services, Healthcare, Financial Services. Portfolio includes Netchex, Duetto, PureFacts, PlanHub. Functional capabilities: AI, Digital Transformation, Human Capital. HQ location, fund details, check sizes, and financial criteria not disclosed on website. Confidence Medium due to explicit sector and deal type information but lack of geographic/fund/size data.</t>
  </si>
  <si>
    <t>Grupo Don Mario</t>
  </si>
  <si>
    <t>San Isidro</t>
  </si>
  <si>
    <t>https://www.gdmseeds.com</t>
  </si>
  <si>
    <t>Seeded from CapIQ export. Numeric fields are regex first-pass — crawler will confirm. capiq_description preserved for AI extraction fallback. | [extractor] Grupo Don Mario (GDM) is an agricultural genetics company, not a PE/VC firm. Website shows headquarters in San Isidro, Argentina (address: Cuyo 2570 - Panamá 1221). Company focuses on vegetable genetic research, development and commercialization for extensive crops (soybean, wheat). No investment criteria, fund information, or PE/VC activity detected. Content extracted is purely corporate information about the operating company itself.</t>
  </si>
  <si>
    <t>Gryphon Advisors, LLC</t>
  </si>
  <si>
    <t>https://www.gryphon-inv.com</t>
  </si>
  <si>
    <t>80.0</t>
  </si>
  <si>
    <t>Consumer, Industrials</t>
  </si>
  <si>
    <t>9317.85</t>
  </si>
  <si>
    <t>Seeded from CapIQ export. Numeric fields are regex first-pass — crawler will confirm. capiq_description preserved for AI extraction fallback. | [extractor] Gryphon Advisors operates two strategies: Private Equity ($50M-$500M check size, up to $80M EBITDA) and Junior Capital ($5M-$25M range). Founded 1995. Focuses on middle market, control/shared-control positions. North America-headquartered businesses. Six sectors of interest identified: Business Services, Consumer Products &amp; Services, Healthcare, Industrial Growth, Software, Technology Solutions &amp; Services. Explicit mention of traditional buyouts, buy-and-builds, and growth buyouts (control positions). Junior Capital includes recaps and refinancings. Historical deal volume: 75 control platform acquisitions, 550+ add-ons, 30+ junior capital deals. HQ location not explicitly stated in provided content.</t>
  </si>
  <si>
    <t>Guardian Capital Partners Investment Management, L.P.</t>
  </si>
  <si>
    <t>https://www.guardiancp.com</t>
  </si>
  <si>
    <t>1189.93</t>
  </si>
  <si>
    <t>2026-03</t>
  </si>
  <si>
    <t>Seeded from CapIQ export. Numeric fields are regex first-pass — crawler will confirm. capiq_description preserved for AI extraction fallback. | [extractor] Guardian Capital Partners is a PE firm with explicit investment criteria on website. GPS Program focuses on Industrial Technology, Digital Infrastructure, Non-Discretionary Services, Food &amp; Beverage, and Water/Wastewater Infrastructure. Control buyouts, recaps, and add-ons. Target revenue $25-200M, EBITDA $5-30M, equity check $25-100M. US and Canada focus. Recent deals: Raptor Power Systems (Oct 2025, Fund IV), Nügredient Solutions (March 2026, Fund IV). Two one-pager PDFs available but not parsed per rules.</t>
  </si>
  <si>
    <t>Guideboat Capital Partners</t>
  </si>
  <si>
    <t>https://www.guideboatcap.com</t>
  </si>
  <si>
    <t>Seeded from CapIQ export. Numeric fields are regex first-pass — crawler will confirm. capiq_description preserved for AI extraction fallback. | [extractor] Guideboat Capital Partners is a PE firm with offices in Dallas, TX and Charlottesville, VA. Clear investment criteria on website: EBITDA $2-20mm. Strong preference for founder/management rollover. Focus on operational excellence over financial engineering. Sectors align with Industrials, Business Services, and Consumer. Portfolio companies shown include P3 Cost Analysts, The Light Park, Buff City Soap, CityVet, and Scenthound. No fund-specific data, AUM, or check size ranges disclosed on website.</t>
  </si>
  <si>
    <t>H.I.G. Capital, LLC</t>
  </si>
  <si>
    <t>https://www.hig.com</t>
  </si>
  <si>
    <t>Seeded from CapIQ export. Numeric fields are regex first-pass — crawler will confirm. capiq_description preserved for AI extraction fallback. | [extractor] Portfolio page accessed but contains only boilerplate HTML/CSS with no investment criteria data. Firm identified as 'Global Alternative Assets Investment Firm' with ~30 years history. No specific investment criteria, deal types, sectors, ticket sizes, or fund information extracted from this page. Further review of firm website needed for complete data.</t>
  </si>
  <si>
    <t>Hall Capital Holdings, LLC</t>
  </si>
  <si>
    <t>https://hallcapitalllc.com</t>
  </si>
  <si>
    <t>Halo Partners, LP</t>
  </si>
  <si>
    <t>California</t>
  </si>
  <si>
    <t>San Diego</t>
  </si>
  <si>
    <t>https://www.halopartners.com</t>
  </si>
  <si>
    <t>Seeded from CapIQ export. Numeric fields are regex first-pass — crawler will confirm. capiq_description preserved for AI extraction fallback. | [extractor] Limited public information available. Firm describes itself as middle market focused with 'all-weather strategy' and 'flexible investments' but lacks explicit criteria on deal types, sector focus, check sizes, or financial metrics. Website contains minimal substantive detail on investment thesis or specific sectors. Headquarters confirmed as San Diego, California.</t>
  </si>
  <si>
    <t>Hamilton Robinson Capital Partners LLC</t>
  </si>
  <si>
    <t>https://hrco.com</t>
  </si>
  <si>
    <t>Seeded from CapIQ export. Numeric fields are regex first-pass — crawler will confirm. capiq_description preserved for AI extraction fallback. | [extractor] Clear investment criteria found on website. Geography includes US and Canada. Deal types include ownership transition of family businesses, management buyouts, majority recaps/full sales, corporate divestitures, ESOP replacement, growth capital, and joint ventures. Focus on modern industrial markets with trends in productivity tech, automation, IIOT, and advanced manufacturing. Criteria PDF available: https://hrco.com/assets/uploads/2026/05/HRCP-Investment-Criteria-2026.pdf — not parsed. HQ city/state not confirmed from available pages.</t>
  </si>
  <si>
    <t>Hammond, Kennedy, Whitney &amp; Company, Inc.</t>
  </si>
  <si>
    <t>https://www.hkwinc.com</t>
  </si>
  <si>
    <t>Seeded from CapIQ export. Numeric fields are regex first-pass — crawler will confirm. capiq_description preserved for AI extraction fallback. | [extractor] Hammond, Kennedy, Whitney &amp; Company (HKW) is a private equity firm targeting small to mid-size companies in Manufacturing, Distribution, and Business Services sectors in the US and Canada. EBITDA range $3-30mm explicitly stated. Deal types include industry consolidations, corporate divestitures, generational ownership changes, MBOs, and recapitalizations. Target companies with talented management teams seeking equity ownership and sustainable competitive advantages. HQ location not disclosed in provided content. No fund-specific information or AUM data available.</t>
  </si>
  <si>
    <t>Harvest Partners, LP</t>
  </si>
  <si>
    <t>https://www.harvestpartners.com</t>
  </si>
  <si>
    <t>19543.14</t>
  </si>
  <si>
    <t>Seeded from CapIQ export. Numeric fields are regex first-pass — crawler will confirm. capiq_description preserved for AI extraction fallback. | [extractor] Portfolio page accessed but contains only CSS, JavaScript, and schema markup with no actual investment criteria, fund details, or portfolio company information. Page structure suggests portfolio data exists but was not loaded in the provided content. Recommend reviewing full HTML or accessing the website directly.</t>
  </si>
  <si>
    <t>Haveli Investment Management LLC</t>
  </si>
  <si>
    <t>https://www.haveliinvestments.com</t>
  </si>
  <si>
    <t>Technology, Media</t>
  </si>
  <si>
    <t>Seeded from CapIQ export. Numeric fields are regex first-pass — crawler will confirm. capiq_description preserved for AI extraction fallback. | [extractor] Austin-based PE firm focused on technology, specifically enterprise software (vertical apps, horizontal apps, infrastructure software, cybersecurity) and gaming (PC, mobile, console). Invests in middle-market companies. Software fund described as 'multi-billion dollar fund'; gaming fund described as 'near billion dollar fund' — exact AUM not confirmed. Deal types confirmed as control and minority investments. No explicit financial criteria (revenue, EBITDA, EV, check size) published. Legal notices PDF found: https://www.haveliinvestments.com/documents/en/Haveli-Website-Terms-of-Use_Disclaimers.pdf — not parsed (likely terms of use, not criteria). Sustainability report at https://www.haveliinvestments.com/sustainability — not parsed.</t>
  </si>
  <si>
    <t>HealthpointCapital, LLC</t>
  </si>
  <si>
    <t>https://www.healthpointcapital.com</t>
  </si>
  <si>
    <t>2022-02-01</t>
  </si>
  <si>
    <t>Seeded from CapIQ export. Numeric fields are regex first-pass — crawler will confirm. capiq_description preserved for AI extraction fallback. | [extractor] Firm focused on musculoskeletal healthcare buyouts. Portfolio includes CrossRoads (realized Feb 2022 exit to J&amp;J), IlluminOss Medical, SteriCUBE, and ImmersiveTouch. Explicitly states control-based buyout approach with operating support. HQ confirmed at 9920 Pacific Heights Blvd., Suite 150, San Diego, CA 92121. Investment criteria document not located; sector focus and deal type inferred from portfolio companies and marketing language.</t>
  </si>
  <si>
    <t>Heartland Growth Partners, LLC</t>
  </si>
  <si>
    <t>Indiana</t>
  </si>
  <si>
    <t>Indianapolis</t>
  </si>
  <si>
    <t>https://www.heartlandgrowthpartners.com</t>
  </si>
  <si>
    <t>0.5</t>
  </si>
  <si>
    <t>Buyout, Venture</t>
  </si>
  <si>
    <t>Industrials, Technology, Business Services</t>
  </si>
  <si>
    <t>Seeded from CapIQ export. Numeric fields are regex first-pass — crawler will confirm. capiq_description preserved for AI extraction fallback. | [extractor] Heartland Growth Partners operates dual platforms: PE (lower middle market buyouts of family-owned Midwest businesses) and VC (early-stage tech for traditional industries). PE: &lt;$100M EV, $5-30M equity, $2-10M EBITDA, $10M+ revenue, majority/significant minority stakes. VC: Pre-Seed to Series A, $500K-$3M checks, region-agnostic but focused on tech for real estate, construction, manufacturing, logistics. HQ: Indianapolis with offices in Cincinnati, Columbus, Louisville, South Bend, and NYC. Active portfolio across both divisions.</t>
  </si>
  <si>
    <t>Helium Technology, Inc.</t>
  </si>
  <si>
    <t>https://heliumventures.co</t>
  </si>
  <si>
    <t>Seeded from CapIQ export. Numeric fields are regex first-pass — crawler will confirm. capiq_description preserved for AI extraction fallback. | [extractor] Helium Ventures acquires software businesses from founders. Business model appears to be acquirer/roll-up platform rather than traditional PE/VC fund. Offers 'clean exit' and 'stewardship' post-acquisition, plus Founder Residency program. No explicit investment criteria, ticket size, geography, or AUM disclosed. Firm type unclear—could be Fundless Sponsor, Search Fund, or Other. HQ location not provided. Minimal data on deal volume/timing. InsurGrid mentioned as example deal (no date). needs_review=true due to ambiguous business model classification.</t>
  </si>
  <si>
    <t>Hennick &amp; Company, Inc.</t>
  </si>
  <si>
    <t>https://hennick.com</t>
  </si>
  <si>
    <t>Seeded from CapIQ export. Numeric fields are regex first-pass — crawler will confirm. capiq_description preserved for AI extraction fallback. | [extractor] PE firm backed by permanent capital focusing exclusively on control buyouts of consulting, advisory, and professional services firms. Majority stake acquisitions with management retaining meaningful equity. Portfolio includes 6+ investments (Foster + Partners, Gardiner &amp; Theobald, Leo A Daly, RATIO Design, LAN, DG Architects). Combined portfolio generates &gt;$1.5B annual revenue with 4,500+ professionals across 64 offices in 12 countries. Geographic focus worldwide with particular emphasis on markets where firm has connections. Founded by Hennick Family (also founders/major shareholders of Colliers International and FirstService Corporation). Invests with generational/long-term perspective; completes handful of deals per year. Specific check sizes, fund vintage, and AUM not disclosed.</t>
  </si>
  <si>
    <t>HgCapital LLP</t>
  </si>
  <si>
    <t>https://hgcapital.com</t>
  </si>
  <si>
    <t>110000.0</t>
  </si>
  <si>
    <t>Seeded from CapIQ export. Numeric fields are regex first-pass — crawler will confirm. capiq_description preserved for AI extraction fallback. | [extractor] Source page contains only CSS styling and navigation markup with no investment criteria content. Approach page appears to be an HTML shell without substantive data. Unable to extract deal types, sectors, check sizes, fund details, or geographic information from provided content. Requires access to actual investment criteria documentation or additional pages.</t>
  </si>
  <si>
    <t>Highlander Partners, L.P.</t>
  </si>
  <si>
    <t>https://www.highlander-partners.com</t>
  </si>
  <si>
    <t>Consumer, Industrials, Technology</t>
  </si>
  <si>
    <t>2024-12-01</t>
  </si>
  <si>
    <t>Seeded from CapIQ export. Numeric fields are regex first-pass — crawler will confirm. capiq_description preserved for AI extraction fallback. | [extractor] PE firm with diversified portfolio across consumer, industrials, and technology sectors. Active investor with recent deal (Ergobaby, Dec 2024). Portfolio shows buyout strategy with buy-and-build approach (e.g., Biamp with 6 acquisitions). HQ location not confirmed from source. No explicit investment criteria, fund details, or check size information available on portfolio page. Confidence limited to deal activity and sector inference from portfolio companies.</t>
  </si>
  <si>
    <t>Highline Group</t>
  </si>
  <si>
    <t>https://www.highlinegroupco.com</t>
  </si>
  <si>
    <t>Seeded from CapIQ export. Numeric fields are regex first-pass — crawler will confirm. capiq_description preserved for AI extraction fallback. | [extractor] Single-family office seeking control investments in family-owned/privately-held companies. Geographic focus: Rocky Mountain Region. Explicit revenue criteria $10MM-$50MM+. Target characteristics include positive cash flow, strong gross margins, defensible market position, diverse customer base. Three stated sector interests: Printing/Packaging/Labels, Manufacturing, Food &amp; Beverage. Brochure available at https://www.highlinegroupco.com/uploads/1/2/4/2/124285957/hg_brochure_update_feb_2024.pdf — not parsed.</t>
  </si>
  <si>
    <t>Hoffmann Family of Companies</t>
  </si>
  <si>
    <t>Missouri</t>
  </si>
  <si>
    <t>https://www.hfcompanies.com</t>
  </si>
  <si>
    <t>Industrials, Financial Services, Media</t>
  </si>
  <si>
    <t>Seeded from CapIQ export. Numeric fields are regex first-pass — crawler will confirm. capiq_description preserved for AI extraction fallback. | [extractor] Multi-vertical family office founded by David and Jerri Hoffmann with 200+ acquired brands globally, 27,000+ employees across 400+ locations in 30 countries. Eight investment verticals: Agriculture, Aviation &amp; Transportation, Financial &amp; Professional Services, Hospitality &amp; Entertainment, Manufacturing, Marine, Media &amp; Marketing, and Real Estate. Long-term value creation focus with multi-generational family ownership. Forbes feature (2026) highlights media/journalism strategy. Specific deal criteria, check sizes, and financial thresholds not disclosed on website.</t>
  </si>
  <si>
    <t>I Squared Capital Advisors, LLC</t>
  </si>
  <si>
    <t>https://www.isquaredcapital.com</t>
  </si>
  <si>
    <t>55000.0</t>
  </si>
  <si>
    <t>Seeded from CapIQ export. Numeric fields are regex first-pass — crawler will confirm. capiq_description preserved for AI extraction fallback. | [extractor] Page is investments listing page only with minimal extractable data. Tagline 'Infrastructure Transformed' and description 'has built, acquired, and invested in a diverse portfolio of companies' suggests PE/infrastructure focus. No specific investment criteria, deal types, check sizes, fund info, or HQ location found on this page. Firm name appears as 'I Squared Capital' in organization schema. Requires review of main firm website or fund documents for comprehensive criteria.</t>
  </si>
  <si>
    <t>ITE Management L.P.</t>
  </si>
  <si>
    <t>https://www.itemgmt.com</t>
  </si>
  <si>
    <t>Seeded from CapIQ export. Numeric fields are regex first-pass — crawler will confirm. capiq_description preserved for AI extraction fallback. | [extractor] Page contains only schema markup and CSS. No investment criteria, fund information, or firm details extracted. Content appears to be boilerplate page template. Full website review needed to extract meaningful data.</t>
  </si>
  <si>
    <t>Ice Lake Capital Management B.V.</t>
  </si>
  <si>
    <t>Amsterdam</t>
  </si>
  <si>
    <t>https://www.icelake.com</t>
  </si>
  <si>
    <t>Business Services, Technology, Healthcare</t>
  </si>
  <si>
    <t>Seeded from CapIQ export. Numeric fields are regex first-pass — crawler will confirm. capiq_description preserved for AI extraction fallback. | [extractor] PE firm based in Amsterdam (Netherlands) with secondary offices in Munich (Germany) and Diegem (Belgium). Portfolio shows primarily European mid-market buyouts across B2B services, technology, and healthcare sectors. No US investments evident. Multiple portfolio companies and realized exits indicate active deal flow. No explicit investment criteria, fund details, or ticket size information found on provided pages.</t>
  </si>
  <si>
    <t>Incline Management, L.P.</t>
  </si>
  <si>
    <t>Pittsburgh</t>
  </si>
  <si>
    <t>https://www.inclineequity.com</t>
  </si>
  <si>
    <t>Seeded from CapIQ export. Numeric fields are regex first-pass — crawler will confirm. capiq_description preserved for AI extraction fallback. | [extractor] Incline Equity Partners is a middle-market PE firm with 23+ years of experience. HQ in Pittsburgh with office in NYC. Investment criteria explicitly stated: Enterprise Value $25MM-$750MM with no minimum for add-ons. Transaction types: Buyouts, Corporate Divestitures, Minority Recapitalizations. Sectors: Services, Value-Added Distribution, Software &amp; Technology, Specialized Light Manufacturing. Geographic focus: USA or Canada. Portfolio shows 30 active and 44 realized investments. Regulatory information PDF available at https://inclineequity.com/wp-content/uploads/2025/11/Incline-Regulatory-Information-11-21-25.pdf but not parsed. AUM and specific fund details not disclosed on website.</t>
  </si>
  <si>
    <t>Industrial Opportunity Partners, LLC</t>
  </si>
  <si>
    <t>Evanston</t>
  </si>
  <si>
    <t>https://www.iopfund.com</t>
  </si>
  <si>
    <t>Seeded from CapIQ export. Numeric fields are regex first-pass — crawler will confirm. capiq_description preserved for AI extraction fallback. | [extractor] Explicit investment criteria page clearly states middle-market industrials focus. Control equity investments in manufacturing and value-added distribution businesses. Geographic scope: North America (19 US states, 2 Canadian provinces, Mexico). Platform companies typically $50-500M revenue with $5-50M EBITDA. Check sizes $15-100M. Four funds identified: IOP Fund II, III, IV with current 14 active holdings and 25 exited. Management alignment preferred. Seeks control positions with operational improvements and/or growth potential.</t>
  </si>
  <si>
    <t>Ingka Investments B.V.</t>
  </si>
  <si>
    <t>https://www.ingka.com/what-we-do/ingka-investments</t>
  </si>
  <si>
    <t>Real Estate, Energy, Technology</t>
  </si>
  <si>
    <t>Seeded from CapIQ export. Numeric fields are regex first-pass — crawler will confirm. capiq_description preserved for AI extraction fallback. | [extractor] Ingka Investments B.V. identified as a division within Ingka Group (parent of IKEA Retail and Ingka Centres). Page source shows navigation menu only with minimal substantive content. No investment criteria, fund details, AUM, deal history, or geographic focus extracted. Page appears to be homepage/navigation only. Detailed investment criteria data not found on provided source page. Full website exploration required.</t>
  </si>
  <si>
    <t>Innovobot</t>
  </si>
  <si>
    <t>Montreal</t>
  </si>
  <si>
    <t>https://www.innovobot.com</t>
  </si>
  <si>
    <t>IRV Fund</t>
  </si>
  <si>
    <t>Seeded from CapIQ export. Numeric fields are regex first-pass — crawler will confirm. capiq_description preserved for AI extraction fallback. | [extractor] Innovobot is an investment and innovation platform with HQ in Montreal and US presence in Silicon Valley. Firm invests in high-potential technology companies across AI, Robotics, IoT, HMI, MedTech, and other advanced tech sectors. Has exited 7 companies. IRV Fund mentioned but no vintage year or AUM data found. Firm structure unclear—appears to be hybrid investment + innovation services platform (Innovobot Labs). Deal types and check sizes not specified. Needs review to confirm firm_type classification and investment criteria details.</t>
  </si>
  <si>
    <t>Insight Equity Management Company LLC</t>
  </si>
  <si>
    <t>https://www.insightequity.com</t>
  </si>
  <si>
    <t>Industrials, Business Services, Infrastructure</t>
  </si>
  <si>
    <t>Seeded from CapIQ export. Numeric fields are regex first-pass — crawler will confirm. capiq_description preserved for AI extraction fallback. | [extractor] Control buyout PE firm focused on middle-market manufacturing and distribution companies. Target revenue $50M-$1B, equity check size $25M-$100M. Multiple funds (I-III) and direct deals active through Feb 2026. Recent deal activity confirms ongoing investment. Brochure available at https://www.insightequity.com/images/home/OnePagerMarch312026_Final.pdf — not parsed.</t>
  </si>
  <si>
    <t>Insight Venture Management, LLC</t>
  </si>
  <si>
    <t>https://www.insightpartners.com</t>
  </si>
  <si>
    <t>92178.93</t>
  </si>
  <si>
    <t>Seeded from CapIQ export. Numeric fields are regex first-pass — crawler will confirm. capiq_description preserved for AI extraction fallback. | [extractor] Source page appears to be a portfolio page with only New Relic tracking code present. No investment criteria, fund details, sector focus, check sizes, or other relevant investment data could be extracted. Firm name confirmed as 'Insight Venture Management, LLC' but substantive criteria data is missing. Direct review of firm website homepage or investment criteria document needed.</t>
  </si>
  <si>
    <t>Inspirit Equity, LLC</t>
  </si>
  <si>
    <t>https://inspiritequity.com</t>
  </si>
  <si>
    <t>Industrials, Consumer, Healthcare</t>
  </si>
  <si>
    <t>2026-01-01</t>
  </si>
  <si>
    <t>Seeded from CapIQ export. Numeric fields are regex first-pass — crawler will confirm. capiq_description preserved for AI extraction fallback. | [extractor] Permanent capital vehicle (not fund-based). HQ in Beverly Hills, CA. Invests in lower middle market with up to $750M enterprise value targets. Recent deals: Sizemore Inc. (facility management, Jan 2026), Nomi Health (healthcare, Aug 2025), Impulse Space (aerospace, current). Focus areas: Industrials (specialty industrial, mechanical &amp; facility services), Consumer (products, services, retail), TMT (tech-enabled services, media, telecom), Healthcare (multi-site providers, payor services, health-tech). Deal types include corporate divestitures, family-owned transitions, special situations, public-to-private. Indefinite hold philosophy with hands-on operational partnership model.</t>
  </si>
  <si>
    <t>Institutional Capital Network, Inc.</t>
  </si>
  <si>
    <t>https://icapital.com</t>
  </si>
  <si>
    <t>Seeded from CapIQ export. Numeric fields are regex first-pass — crawler will confirm. capiq_description preserved for AI extraction fallback. | [extractor] Page is About Us landing page with minimal investment criteria data. Firm name is iCapital (not Institutional Capital Network, Inc.). Founded 2013. Described as alternative investment marketplace platform connecting wealth advisors and fund managers. No investment criteria, fund details, check sizes, sector focus, or deal types disclosed on this page. Requires review of additional pages or fund documentation.</t>
  </si>
  <si>
    <t>Integrated Partners</t>
  </si>
  <si>
    <t>Hong Kong</t>
  </si>
  <si>
    <t>https://www.integrated.com</t>
  </si>
  <si>
    <t>Seeded from CapIQ export. Numeric fields are regex first-pass — crawler will confirm. capiq_description preserved for AI extraction fallback. | [extractor] Integrated Corporation is a technology company offering access control, biometric, IoT, and digital transformation solutions—NOT a PE/VC firm. Pages show headquarters in Hong Kong with branches in China (Zhongshan, Beijing, Shanghai, Guangzhou). No investment criteria, fund information, deal history, or investment activity found. This appears to be a misidentified company.</t>
  </si>
  <si>
    <t>Inverness Graham Investments, Inc.</t>
  </si>
  <si>
    <t>https://www.invernessgraham.com</t>
  </si>
  <si>
    <t>Healthcare, Technology, Industrials</t>
  </si>
  <si>
    <t>Seeded from CapIQ export. Numeric fields are regex first-pass — crawler will confirm. capiq_description preserved for AI extraction fallback. | [extractor] Two investment strategies identified: Flagship Strategy (revenue $10M–$100M, EBITDA up to $20M, equity $40M–$80M) and Green Light Strategy (revenue $10M–$100M, EBITDA up to $10M, equity $20M–$50M). Both require majority control. Vertical expertise and sector focus clearly stated. HQ location not provided on page. Criteria PDFs referenced but not parsed: https://www.invernessgraham.com/wp-content/uploads/Inverness-Graham-Overview_April-2026.pdf and https://www.invernessgraham.com/wp-content/uploads/Inverness-Graham-Green-Light-Overview_April-2026.pdf. Check size range combines both strategies.</t>
  </si>
  <si>
    <t>InvestIndustrial</t>
  </si>
  <si>
    <t>https://www.investindustrial.com</t>
  </si>
  <si>
    <t>Industrials, Consumer, Healthcare and Services</t>
  </si>
  <si>
    <t>14915.69</t>
  </si>
  <si>
    <t>Seeded from CapIQ export. Numeric fields are regex first-pass — crawler will confirm. capiq_description preserved for AI extraction fallback. | [extractor] InvestIndustrial is a European-focused PE firm with active portfolio. Portfolio page shows current and prior investments across Industrial Manufacturing, Consumer, and Healthcare/Services sectors. Geographic presence includes Italy, Spain, Switzerland, France, UK, US, Ireland, and Other. No specific fund details, AUM, check sizes, or target company financials found on this page. Firm type inferred as PE based on buyout-style control acquisitions in portfolio.</t>
  </si>
  <si>
    <t>JLL Partners, LLC</t>
  </si>
  <si>
    <t>https://www.jllpartners.com</t>
  </si>
  <si>
    <t>Seeded from CapIQ export. Numeric fields are regex first-pass — crawler will confirm. capiq_description preserved for AI extraction fallback. | [extractor] PE firm with portfolio companies across Healthcare, Industrials, and Business Services. Portfolio includes 25+ companies in Funds VI-IX (e.g., EVERSANA, BioClinica, Patheon, American Dental Partners, Loar Group, Odyssey Behavioral Healthcare). Website lacks explicit investment criteria details, AUM, check sizes, and HQ location. Inferred Buyout deal type from control portfolio holdings. Activity tier marked Active based on recent portfolio company operations.</t>
  </si>
  <si>
    <t>Joshua Green Corporation</t>
  </si>
  <si>
    <t>WA</t>
  </si>
  <si>
    <t>Seattle</t>
  </si>
  <si>
    <t>https://www.joshuagreencorp.com</t>
  </si>
  <si>
    <t>Consumer, Real Estate, Business Services</t>
  </si>
  <si>
    <t>Seeded from CapIQ export. Numeric fields are regex first-pass — crawler will confirm. capiq_description preserved for AI extraction fallback. | [extractor] Joshua Green Corporation is a family office with 100+ year investment history. Invests across public equities, commercial real estate, and private companies. Philosophy emphasizes long-term patient capital, local/regional focus, and partnerships with profitable, well-managed companies. Prior portfolio includes food companies (Kettle Cuisine, Harry's Fresh Foods, Cuizina), warehousing/logistics (BCS), grocery (Metropolitan Market), beverage solutions (PMI Worldwide), and media (PlayNetwork). Flexible on deal structure and ownership percentage. No explicit financial criteria, check sizes, or fund structure disclosed. No current private company holdings detailed. HQ inferred from Seattle office tower news article and company legacy.</t>
  </si>
  <si>
    <t>KCM Capital Partners LLC</t>
  </si>
  <si>
    <t>https://www.kcmcap.com</t>
  </si>
  <si>
    <t>Seeded from CapIQ export. Numeric fields are regex first-pass — crawler will confirm. capiq_description preserved for AI extraction fallback. | [extractor] Investment criteria explicitly stated on dedicated page. Focus on lower middle market buyouts with control equity in business services, value-added distribution, and specialty industrial sectors. Platform equity $10-50M with add-on acquisition flexibility. HQ location not specified on pages provided. Brochure PDF referenced at /s/KCM-Overview-vFINAL-2025v3.pdf — not parsed. Independent PE firm structure noted, not traditional fund.</t>
  </si>
  <si>
    <t>KJM Capital Transportation Fund, LLC</t>
  </si>
  <si>
    <t>Orlando</t>
  </si>
  <si>
    <t>https://www.kjmcapital.com</t>
  </si>
  <si>
    <t>Seeded from CapIQ export. Numeric fields are regex first-pass — crawler will confirm. capiq_description preserved for AI extraction fallback. | [extractor] Firm seeks control positions (lead investor) in companies with $20-100M revenue and $3-15M EBITDA. Geographic focus: East of the Rockies. Prefers family-owned businesses with owner retaining minority stake. Founded 2014 by Kenneth Meister. Located in Orlando, FL. No AUM or fund vintage details beyond founding year available.</t>
  </si>
  <si>
    <t>KKR &amp; Co. Inc. (NYSE:KKR)</t>
  </si>
  <si>
    <t>https://www.kkr.com</t>
  </si>
  <si>
    <t>743858.0</t>
  </si>
  <si>
    <t>Seeded from CapIQ export. Numeric fields are regex first-pass — crawler will confirm. capiq_description preserved for AI extraction fallback. | [extractor] Page describes KKR's investment approach and organization (750+ investment professionals) but contains no explicit investment criteria (size, EBITDA, revenue, geography restrictions). Firm_type inferred as PE based on company profile as global investment firm with private equity operations. Deal_types limited to Buyout based on references to control investments and portfolio company ownership. Sector_tier1 set to Generalist due to multi-strategy approach (PE, Infrastructure, Real Estate, Credit, etc.). HQ location, fund details, and specific investment parameters not found on this page. Needs_review=true due to lack of explicit criteria data.</t>
  </si>
  <si>
    <t>KPS Capital Partners, LP</t>
  </si>
  <si>
    <t>https://www.kpsfund.com</t>
  </si>
  <si>
    <t>Seeded from CapIQ export. Numeric fields are regex first-pass — crawler will confirm. capiq_description preserved for AI extraction fallback. | [extractor] KPS Capital Partners is a PE firm based in NYC (One Vanderbilt Ave, 52nd Floor) focused on control buyouts of manufacturing companies. Strategy emphasizes operations-driven value creation, buy-and-build acquisitions (70+ follow-on acquisitions noted), and partnering with management teams. Sector focus is manufacturing/industrials. Limited financial criteria data available on provided pages. Global investments noted but US presence confirmed.</t>
  </si>
  <si>
    <t>KSL Advisors, LLC</t>
  </si>
  <si>
    <t>https://www.kslcapital.com</t>
  </si>
  <si>
    <t>Real Estate, Consumer, Technology</t>
  </si>
  <si>
    <t>Seeded from CapIQ export. Numeric fields are regex first-pass — crawler will confirm. capiq_description preserved for AI extraction fallback. | [extractor] Source page contains only website boilerplate code and styling (CSS/JavaScript). No investment criteria, firm details, deal information, or sector focus data extracted. Page title indicates 'Investments | KSL Capital Partners' but actual content was not provided. Requires review of actual page content or alternative source documents.</t>
  </si>
  <si>
    <t>Kava Equity Partners, LLC</t>
  </si>
  <si>
    <t>Colorado</t>
  </si>
  <si>
    <t>https://www.kavaequity.com</t>
  </si>
  <si>
    <t>Seeded from CapIQ export. Numeric fields are regex first-pass — crawler will confirm. capiq_description preserved for AI extraction fallback. | [extractor] Direct PE investment group backed by Southern Ute Indian Tribe Growth Fund as balance sheet investor. Sovereign capital model with no fund constraints. Industry agnostic, lower middle market focus. Transaction types include institutional buyout, management buyout, corporate carveout, owner liquidity, and growth capital. Majority or minority equity structures. Values-aligned investment approach required. Based in Denver, Colorado.</t>
  </si>
  <si>
    <t>Keensight Capital</t>
  </si>
  <si>
    <t>https://www.keensight.com</t>
  </si>
  <si>
    <t>7077.14</t>
  </si>
  <si>
    <t>Seeded from CapIQ export. Numeric fields are regex first-pass — crawler will confirm. capiq_description preserved for AI extraction fallback. | [extractor] Page content is primarily CSS and schema markup with no substantive investment criteria data. About Us page did not contain extractable information about firm type, investment focus, geography, deal sizes, sectors, or fund details. Requires review of additional pages or documents to populate investment criteria.</t>
  </si>
  <si>
    <t>Kennedy Lewis Management LP</t>
  </si>
  <si>
    <t>https://www.klimllc.com</t>
  </si>
  <si>
    <t>11536.18</t>
  </si>
  <si>
    <t>Seeded from CapIQ export. Numeric fields are regex first-pass — crawler will confirm. capiq_description preserved for AI extraction fallback. | [extractor] Page contains only schema.org metadata and CSS styling. No investment criteria, fund details, deal history, or firm information present. Firm name confirmed as Kennedy Lewis Investment Management (not Kennedy Lewis Management LP). Website: klimllc.com. Requires review of additional pages for actual investment data.</t>
  </si>
  <si>
    <t>Key Investment Partners LLC</t>
  </si>
  <si>
    <t>https://www.keyinvestmentpartners.com</t>
  </si>
  <si>
    <t>Seeded from CapIQ export. Numeric fields are regex first-pass — crawler will confirm. capiq_description preserved for AI extraction fallback. | [extractor] Source page contains only website boilerplate code and CSS; actual white paper content not extracted. Title indicates cannabis investment focus. No firm headquarters, investment criteria, fund details, or deal information could be confirmed from provided content.</t>
  </si>
  <si>
    <t>Kinderhook Industries, LLC</t>
  </si>
  <si>
    <t>https://www.kinderhook.com</t>
  </si>
  <si>
    <t>11000.0</t>
  </si>
  <si>
    <t>Seeded from CapIQ export. Numeric fields are regex first-pass — crawler will confirm. capiq_description preserved for AI extraction fallback. | [extractor] Founded 2003, raised $11B+ committed capital, 500+ investments/follow-ons since inception. Focus on middle market buyouts with add-on acquisition strategy. Core verticals: healthcare services, environmental &amp; industrial services, light manufacturing &amp; automotive. HQ location not explicitly stated on provided pages. Multiple active portfolio companies with recent deal activity.</t>
  </si>
  <si>
    <t>Kingdom Holding Company (SASE:4280)</t>
  </si>
  <si>
    <t>Jeddah</t>
  </si>
  <si>
    <t>https://www.kingdom.com.sa/homepage</t>
  </si>
  <si>
    <t>Minority, Other</t>
  </si>
  <si>
    <t>Technology, Hospitality, Financial Services, Real Estate</t>
  </si>
  <si>
    <t>Aviation, Healthcare, Education</t>
  </si>
  <si>
    <t>19000.0</t>
  </si>
  <si>
    <t>2026-04-16</t>
  </si>
  <si>
    <t>Seeded from CapIQ export. Numeric fields are regex first-pass — crawler will confirm. capiq_description preserved for AI extraction fallback. | [extractor] Kingdom Holding Company is a Saudi Arabia-based family office with a diversified global portfolio valued at USD 19 billion across 22 sectors. Portfolio includes major holdings in Citigroup (1.06%), SpaceX (0.36%), Four Seasons, Accor, Flynas, and others. Geographic breakdown: 40% Saudi Arabia, 36% North America, 20% Europe, 3% Asia, 0.5% emerging markets. Key investment sectors include hospitality, financial services, technology &amp; connectivity (AI, space, satellite), real estate, aviation, education, and healthcare. Recent activity includes xAI investment (USD 800M Series C, Dec 2024) and Al-Hilal Club acquisition (70%, Apr 2026). No specific fund structure or check size criteria disclosed.</t>
  </si>
  <si>
    <t>Kingswood Capital Management, LP</t>
  </si>
  <si>
    <t>https://kingswood-capital.com</t>
  </si>
  <si>
    <t>2025-12-02</t>
  </si>
  <si>
    <t>Seeded from CapIQ export. Numeric fields are regex first-pass — crawler will confirm. capiq_description preserved for AI extraction fallback. | [extractor] Kingswood Capital Management is a PE firm headquartered in Los Angeles. Portfolio includes acquisitions of Drive Medical (2025), Daramic (2025), and IDX (2024). All deals appear to be control buyouts. Fact sheet PDF available at https://www.kingswood-capital.com/wp-content/uploads/KCM-Brochure.pdf but not parsed. Limited public data on fund details, check sizes, or specific investment criteria beyond portfolio evidence.</t>
  </si>
  <si>
    <t>Knox Lane LP</t>
  </si>
  <si>
    <t>https://www.knoxlane.com</t>
  </si>
  <si>
    <t>3395.39</t>
  </si>
  <si>
    <t>Seeded from CapIQ export. Numeric fields are regex first-pass — crawler will confirm. capiq_description preserved for AI extraction fallback. | [extractor] Firm explicitly identifies as PE focused on growth-oriented businesses in services and consumer sectors. HQ in San Francisco confirmed from copyright footer. Describes bespoke investment approach with operational expertise and focus on organizational/operational/digital transformation. Deal type inferred as Buyout based on control-oriented language ('active support', 'partner companies'). Limited financial criteria disclosed. Investor login and Pitchbook profile link present. No specific check size, AUM, fund vintage, or transaction data found on pages provided. Data gaps on key investment parameters.</t>
  </si>
  <si>
    <t>Koch Equity Development, LLC</t>
  </si>
  <si>
    <t>https://www.kochequity.com</t>
  </si>
  <si>
    <t>Seeded from CapIQ export. Numeric fields are regex first-pass — crawler will confirm. capiq_description preserved for AI extraction fallback. | [extractor] Koch Equity Development is the principal investment arm of Koch Industries. Since 2012, deployed &gt;$40B across equity and debt strategies. Broad mandate spanning debt, structured equity, joint-control, and full acquisitions. Classified as PE based on full acquisition capability and scale. Generalist by default given no sector focus mentioned. Confidence Medium: firm type and deployment scale confirmed, but specific investment criteria (target size, sectors, geographies) not explicit on website. HQ location not confirmed on provided pages. Needs review: limited public investment criteria available.</t>
  </si>
  <si>
    <t>Kohlberg &amp; Company, L.L.C.</t>
  </si>
  <si>
    <t>https://www.kohlberg.com</t>
  </si>
  <si>
    <t>16253.33</t>
  </si>
  <si>
    <t>Seeded from CapIQ export. Numeric fields are regex first-pass — crawler will confirm. capiq_description preserved for AI extraction fallback. | [extractor] Source page contains only website schema markup and CSS styling with no substantive investment criteria data. Firm type inferred as PE from page URL path '/our-approach/private-equity/' but no explicit investment criteria, fund details, check sizes, sectors, or portfolio data extracted. Requires review of additional firm pages or resources for complete criteria extraction.</t>
  </si>
  <si>
    <t>LDI Ltd., LLC</t>
  </si>
  <si>
    <t>IN</t>
  </si>
  <si>
    <t>https://lacydiversified.com</t>
  </si>
  <si>
    <t>Seeded from CapIQ export. Numeric fields are regex first-pass — crawler will confirm. capiq_description preserved for AI extraction fallback. | [extractor] LDI Ltd LLC (Lacy Diversified Industries) is a PE firm based in Indianapolis, IN. Website explicitly states preference for majority positions but portfolio includes minority investments (Genesis Rail, UltiMed, Pretred, TCP Analytical), creating ambiguity around deal type classification. EBITDA range of $2M-$10M+ confirmed. Focus on fragmented industries with distribution/logistics/manufacturing/supply chain expertise. Criteria PDF found: https://lacydiversified.com/wp-content/uploads/2021/02/LDI-Investment-Criteria_2020.pdf and https://lacydiversified.com/wp-content/uploads/2026/04/LDI-Two-Page-Summary-2026.04.pdf — PDFs not parsed. No fund-specific data (AUM, vintage, fund number) available from website.</t>
  </si>
  <si>
    <t>LDR Partners LP</t>
  </si>
  <si>
    <t>https://www.ldrgp.com</t>
  </si>
  <si>
    <t>70.0</t>
  </si>
  <si>
    <t>American Manufacturing Fund</t>
  </si>
  <si>
    <t>Seeded from CapIQ export. Numeric fields are regex first-pass — crawler will confirm. capiq_description preserved for AI extraction fallback. | [extractor] LDR Partners LP is a Houston-based PE firm founded by U.S. Army veterans, focused on control/buyout investments in lower middle-market industrial manufacturing businesses in North America. Active since 2019 with multiple platform and add-on acquisitions. Named fund is 'American Manufacturing Fund' (first investment 2023). Portfolio sectors include thermal management, sensors &amp; controls, engineered components, and aftermarket parts &amp; accessories. No explicit financial criteria (revenue, EBITDA, EV, check size) published on site. Approach page returned no content. Remote offices in CT, MD, and CA.</t>
  </si>
  <si>
    <t>LFM Capital, LLC</t>
  </si>
  <si>
    <t>https://www.lfmcapital.com</t>
  </si>
  <si>
    <t>1420.67</t>
  </si>
  <si>
    <t>Seeded from CapIQ export. Numeric fields are regex first-pass — crawler will confirm. capiq_description preserved for AI extraction fallback. | [extractor] LFM Capital founded 2014, focuses exclusively on lower middle market manufacturing companies. Explicit buyout strategy with add-on acquisition platform evident from portfolio. Fact sheet PDF referenced but not parsed: https://www.lfmcapital.com/s/24-01-12-LFM-One-Pager-vJG.pdf. HQ location not disclosed on provided pages. Extensive portfolio of control acquisitions with multiple add-on acquisitions per company indicates mature, active buyout fund.</t>
  </si>
  <si>
    <t>Larsen MacColl Partners</t>
  </si>
  <si>
    <t>Wayne</t>
  </si>
  <si>
    <t>https://www.larsenmaccoll.com/private-equity/</t>
  </si>
  <si>
    <t>2019-01-01</t>
  </si>
  <si>
    <t>Seeded from CapIQ export. Numeric fields are regex first-pass — crawler will confirm. capiq_description preserved for AI extraction fallback. | [extractor] PE firm focused on lower middle-market buyouts with controlling interest. Explicit investment criteria: Revenue $5M-$50M, EBITDA $1M-$5M. Geographically focuses on United States and Canada (primarily US based on portfolio). Relies on organic growth and strategic add-on acquisitions rather than leverage. Representative investments span diverse sectors: food/beverage (restaurants, chemicals), transportation (trucking, logistics), manufacturing (packaging, engineered products). Latest deal dated January 2019 (Turning Point). No fund-specific AUM data disclosed.</t>
  </si>
  <si>
    <t>Lead Food Capital, LLC</t>
  </si>
  <si>
    <t>https://www.leadfoodcapital.com</t>
  </si>
  <si>
    <t>Agribusiness, Food Processing, Environmental Services</t>
  </si>
  <si>
    <t>commodities</t>
  </si>
  <si>
    <t>Seeded from CapIQ export. Numeric fields are regex first-pass — crawler will confirm. capiq_description preserved for AI extraction fallback. | [extractor] Founder Bryan Murray is a solo operator (fundless sponsor model). Focus: upstream agribusinesses, environmental services, food processors. Transaction type explicitly stated as 'majority ownership investment.' U.S.-based deals only. Recent activity confirmed via blog posts dated Feb 2025 and deal market commentary. No formal fund structure identified.</t>
  </si>
  <si>
    <t>Lee Equity Partners, LLC</t>
  </si>
  <si>
    <t>https://www.leeequity.com</t>
  </si>
  <si>
    <t>Financial Services, Healthcare</t>
  </si>
  <si>
    <t>5841.79</t>
  </si>
  <si>
    <t>Seeded from CapIQ export. Numeric fields are regex first-pass — crawler will confirm. capiq_description preserved for AI extraction fallback. | [extractor] Lee Equity Partners is a PE firm founded in 2006 specializing in financial services and healthcare services. Portfolio references Fund II, III, IV, and Realization Fund. Described as partnership-first model with control investments (buyout strategy). 250+ platform and add-on investments completed. Geographic presence: North America and Europe noted. HQ location not explicitly stated on provided pages. Fund structure and AUM not disclosed.</t>
  </si>
  <si>
    <t>Legacy Ventures Group, LLC</t>
  </si>
  <si>
    <t>https://legacyventuresgroup.llc</t>
  </si>
  <si>
    <t>Seeded from CapIQ export. Numeric fields are regex first-pass — crawler will confirm. capiq_description preserved for AI extraction fallback. | [extractor] Legacy Ventures Group focuses on acquiring and scaling SaaS companies with $1M–$10M ARR. Founder Owen Schott has 20+ years SaaS experience. Website indicates active operations. Firm type inferred as PE (control acquisitions, operational involvement post-acquisition). HQ location not disclosed on website. No fund structure, AUM, or check size data found. needs_review=true due to limited concrete data and no location confirmation.</t>
  </si>
  <si>
    <t>Leonard Green &amp; Partners, L.P.</t>
  </si>
  <si>
    <t>https://www.leonardgreen.com</t>
  </si>
  <si>
    <t>Seeded from CapIQ export. Numeric fields are regex first-pass — crawler will confirm. capiq_description preserved for AI extraction fallback. | [extractor] Leonard Green &amp; Partners is a leading PE firm based in Los Angeles. Page describes their investment approach as seeking to invest with exceptional management teams in market-leading companies with attractive growth prospects and defensible competitive positions. No specific fund details, AUM, check sizes, or sector restrictions found on this page. Deal type inferred as Buyout based on typical LGP profile as control-oriented PE firm.</t>
  </si>
  <si>
    <t>Liberty Hall Capital Partners, L.P.</t>
  </si>
  <si>
    <t>https://www.libertyhallcapital.com</t>
  </si>
  <si>
    <t>Seeded from CapIQ export. Numeric fields are regex first-pass — crawler will confirm. capiq_description preserved for AI extraction fallback. | [extractor] Source page (https://www.libertyhallcapital.com/investments) contains only HTML/CSS boilerplate with no actual investment data, criteria, or portfolio information. Page content is truncated and contains no extractable investment details. Requires review of actual firm materials or different source pages.</t>
  </si>
  <si>
    <t>Lightview Capital, LLC</t>
  </si>
  <si>
    <t>https://www.lightviewcapital.com</t>
  </si>
  <si>
    <t>Seeded from CapIQ export. Numeric fields are regex first-pass — crawler will confirm. capiq_description preserved for AI extraction fallback. | [extractor] Lower middle market PE firm focused on founder-owned Business Services and Tech-Enabled Services companies with $2M-$15M EBITDA targets. Buy-and-build strategy core to value creation. Invests across US with no geographic constraints. Firm Overview PDF available at https://lightviewcapital.com/media/1780601329165-Lightview_Capital_Overview_2026.pdf (not parsed). References 50+ investments in portfolio.</t>
  </si>
  <si>
    <t>Lindsay Goldberg LLC</t>
  </si>
  <si>
    <t>https://www.lindsaygoldbergllc.com</t>
  </si>
  <si>
    <t>24000.0</t>
  </si>
  <si>
    <t>2017</t>
  </si>
  <si>
    <t>Seeded from CapIQ export. Numeric fields are regex first-pass — crawler will confirm. capiq_description preserved for AI extraction fallback. | [extractor] Founded 2001, headquartered at 630 Fifth Avenue, New York, NY 10111. Committed capital of $24bn as of 12/31/25. &gt;65 platform businesses and &gt;350 follow-on investments. Focus on family- and founder-led businesses. Portfolio spans industrials (Big Ass Fans, Stelco), healthcare (Women's Care, PT Solutions), hospitality (Affordable Suites), and specialty manufacturing (Pixelle). Relationship-driven buyout investor with long-term partnership orientation. US and international investments (e.g., Stelco in Canada).</t>
  </si>
  <si>
    <t>Lion Equity Partners, LLC</t>
  </si>
  <si>
    <t>https://lionequity.com</t>
  </si>
  <si>
    <t>Seeded from CapIQ export. Numeric fields are regex first-pass — crawler will confirm. capiq_description preserved for AI extraction fallback. | [extractor] Lion Equity is a PE firm focused on corporate carve-outs and special situations. Investment strategy centers on operational improvement and strategic change. Portfolio includes diverse companies across industrials, logistics, media, and services (NCP Solutions, Rockpoint Logistics, Newpoint Media Group, IMEX Global Solutions, Elkhart Tri-Went Industrial, Riegel Linen, Ty Harbor Linen, Global Compression Services). Detailed acquisition criteria, investment profile, and financial parameters not disclosed on accessible pages. Full criteria may exist on linked pages (https://www.lionequity.com/acquisition-criteria, https://www.lionequity.com/investment-profile) but content not provided in source data. Needs review for sector classification and deal size parameters.</t>
  </si>
  <si>
    <t>Littlejohn &amp; Co., LLC</t>
  </si>
  <si>
    <t>https://www.littlejohnllc.com</t>
  </si>
  <si>
    <t>Seeded from CapIQ export. Numeric fields are regex first-pass — crawler will confirm. capiq_description preserved for AI extraction fallback. | [extractor] Firm type inferred as PE based on 'Littlejohn &amp; Co.' naming convention and investments page describing 'diverse portfolio of industrial and service companies' with 'strategic investments' and 'close partnership with management teams.' Sectors inferred from description language (industrial/service companies). No explicit investment criteria, financial thresholds, or deal type details found on page. Metadata only; full page content appears to be CSS/JavaScript markup without readable investment criteria. Requires review of actual portfolio companies or investment memoranda for confirmation of deal types, sector focus, and investment parameters.</t>
  </si>
  <si>
    <t>Lodging Capital Partners, LLC</t>
  </si>
  <si>
    <t>https://www.lodgingcapital.com</t>
  </si>
  <si>
    <t>Seeded from CapIQ export. Numeric fields are regex first-pass — crawler will confirm. capiq_description preserved for AI extraction fallback. | [extractor] LCP formed 2005, premier owner/asset manager of upper-upscale and luxury hotels. Portfolio valuation &gt;$1.5B. Strategy focuses on value-add acquisitions with renovations, management repositioning, rebranding. Management team has 100+ years combined experience. Primary focus: US hotels (transactions mentioned in US, Mexico, Europe but majority appears US-based). No explicit fund structure, check sizes, or revenue/EBITDA criteria found on public site.</t>
  </si>
  <si>
    <t>Lone Star Americas Acquisitions, Inc.</t>
  </si>
  <si>
    <t>https://www.lonestarfunds.com</t>
  </si>
  <si>
    <t>96000.0</t>
  </si>
  <si>
    <t>Seeded from CapIQ export. Numeric fields are regex first-pass — crawler will confirm. capiq_description preserved for AI extraction fallback. | [extractor] Multi-strategy investment firm established 1995 with principal office in London. Operates Private Equity, Credit, and Real Estate strategies globally. 26 funds with ~$96B aggregate commitments. Targets value investing in complex situations, distressed assets, and dislocated opportunities across market cycles. No specific revenue/EBITDA/check size thresholds disclosed. No sector exclusions stated; appears generalist across asset classes.</t>
  </si>
  <si>
    <t>LongRange Capital, L.P.</t>
  </si>
  <si>
    <t>https://www.longrangecapital.com</t>
  </si>
  <si>
    <t>Seeded from CapIQ export. Numeric fields are regex first-pass — crawler will confirm. capiq_description preserved for AI extraction fallback. | [extractor] PDF file referenced (LongRangeFirmOverview.pdf) contains corrupted/unreadable content. Binary stream data could not be parsed to extract investment criteria. No firm data confirmed. Criteria PDF found: https://www.longrangecapital.com/images/home/LongRangeFirmOverview.pdf — not parsed (corrupted content)</t>
  </si>
  <si>
    <t>Longshore Capital Management, LLC</t>
  </si>
  <si>
    <t>https://www.longshorecp.com</t>
  </si>
  <si>
    <t>Seeded from CapIQ export. Numeric fields are regex first-pass — crawler will confirm. capiq_description preserved for AI extraction fallback. | [extractor] Longshore Capital Partners website landing page and schema metadata extracted. Firm inferred as PE type based on name and description stating 'makes investments in privately-owned companies and helps founders scale their businesses.' However, actual investment criteria page content not provided in source data—only HTML structure and metadata present. Specific investment parameters (check size, revenue ranges, sectors, deal types, geography) cannot be confirmed. Full criteria details require parsing actual page content.</t>
  </si>
  <si>
    <t>Lovell Minnick Partners LLC</t>
  </si>
  <si>
    <t>https://www.lovellminnick.com</t>
  </si>
  <si>
    <t>Financial Services, Real Estate, Industrials</t>
  </si>
  <si>
    <t>Seeded from CapIQ export. Numeric fields are regex first-pass — crawler will confirm. capiq_description preserved for AI extraction fallback. | [extractor] Page content is CSS/JavaScript markup only with no readable investment criteria, firm location, sector focus, or deal parameters. Actual page content not extracted. Firm type inferred as PE based on company name convention. Requires direct access to actual page content to extract investment criteria.</t>
  </si>
  <si>
    <t>Luminate Capital Management, Inc.</t>
  </si>
  <si>
    <t>https://luminatecapital.com</t>
  </si>
  <si>
    <t>3818.68</t>
  </si>
  <si>
    <t>2025-10-23</t>
  </si>
  <si>
    <t>Seeded from CapIQ export. Numeric fields are regex first-pass — crawler will confirm. capiq_description preserved for AI extraction fallback. | [extractor] Luminate Capital Management specializes in growth buyouts of enterprise SaaS companies with product-market fit. Focus on scalable growth companies with high-retention customers. Recent deal activity through Oct 2025 indicates active investing. No fund details, AUM, or check size information found on website.</t>
  </si>
  <si>
    <t>MKH Capital Partners LP</t>
  </si>
  <si>
    <t>https://www.mkhpartners.com</t>
  </si>
  <si>
    <t>265.0</t>
  </si>
  <si>
    <t>Seeded from CapIQ export. Numeric fields are regex first-pass — crawler will confirm. capiq_description preserved for AI extraction fallback. | [extractor] MKH Capital Partners backed by Motta and Kazma family offices with professional investor Miguel Heras. Headquarters at 220 N Green St, Ste 209, Chicago, IL 60607. Geographic focus: US, Canada, Latin America. Target EBITDA $2-15M, transaction size $10-200M. Deal types: control buyouts, significant minority partnerships, carveouts. Recent investments through 2026 in healthcare services, consumer services, and related sectors. Portfolio shows active deal flow Jan 2020–Present.</t>
  </si>
  <si>
    <t>MLA Capital Partners LLC</t>
  </si>
  <si>
    <t>OH</t>
  </si>
  <si>
    <t>Dayton</t>
  </si>
  <si>
    <t>https://www.mlacapitalpartners.com</t>
  </si>
  <si>
    <t>0.25</t>
  </si>
  <si>
    <t>brickandmortarretail, governmentfunded, construction, hospitalityrestaurant</t>
  </si>
  <si>
    <t>Seeded from CapIQ export. Numeric fields are regex first-pass — crawler will confirm. capiq_description preserved for AI extraction fallback. | [extractor] PE firm focused on small-to-medium manufacturing in Southwest Ohio region (within 2.5 hours of Dayton). Explicitly targets companies $3-15M revenue. Minimum investor check size $250k. Excludes pre-revenue, brick/mortar retail, government-dependent, construction, hospitality/restaurant sectors. Values steward ownership and operational integration. No fund name, vintage, or AUM disclosed on website.</t>
  </si>
  <si>
    <t>MPearlRock LP</t>
  </si>
  <si>
    <t>https://www.mpearlrock.com</t>
  </si>
  <si>
    <t>Seeded from CapIQ export. Numeric fields are regex first-pass — crawler will confirm. capiq_description preserved for AI extraction fallback. | [extractor] MPearlRock is a joint platform between MidOcean Partners and PearlRock Partners. Investment criteria explicitly stated: Food &amp; Beverage and related CPG categories, North America geography, $50-150mm revenue with $1mm+ EBITDA minimum, control/active minority structures. No headquarters city/state provided on website. No fund name, vintage year, AUM, or specific check sizes disclosed. Deal types inferred from 'control/active minority' language.</t>
  </si>
  <si>
    <t>Madison Capital Partners Corporation</t>
  </si>
  <si>
    <t>https://www.madison.net</t>
  </si>
  <si>
    <t>4770.87</t>
  </si>
  <si>
    <t>Seeded from CapIQ export. Numeric fields are regex first-pass — crawler will confirm. capiq_description preserved for AI extraction fallback. | [extractor] Page contains only generic schema markup and WordPress CSS. No investment criteria, firm details, fund information, or deal data present. The source appears to be madison.net (Madison Industries, not Madison Capital Partners Corporation). Insufficient data to extract any confirmed fields. Requires review of actual firm website or additional sources.</t>
  </si>
  <si>
    <t>Madison Dearborn Partners, LLC</t>
  </si>
  <si>
    <t>https://www.mdcp.com</t>
  </si>
  <si>
    <t>Financial Services, Healthcare, Technology</t>
  </si>
  <si>
    <t>Seeded from CapIQ export. Numeric fields are regex first-pass — crawler will confirm. capiq_description preserved for AI extraction fallback. | [extractor] Madison Dearborn Partners is a PE firm based in Chicago with ~40 years of investing history. Portfolio pages confirm focus on three sectors: Financial Services, Healthcare, and Technology &amp; Government. Specific investment criteria (check size, revenue/EBITDA ranges, deal types) not explicitly stated on provided pages. Deal type inferred as Buyout based on PE firm classification and portfolio company profiles. Activity assessed as Active based on current portfolio companies listed.</t>
  </si>
  <si>
    <t>Main Capital Partners B.V.</t>
  </si>
  <si>
    <t>https://main.nl</t>
  </si>
  <si>
    <t>7968.13</t>
  </si>
  <si>
    <t>Main Capital VIII</t>
  </si>
  <si>
    <t>Seeded from CapIQ export. Numeric fields are regex first-pass — crawler will confirm. capiq_description preserved for AI extraction fallback. | [extractor] Netherlands-based PE firm (B.V. entity type). Domain main.nl indicates European HQ. Page meta describes focus on Enterprise Software with local presence and value creation framework. Fund VIII referenced on page (Main Capital VIII &amp; Main Foundation II). Page content truncated; minimal explicit deal criteria extracted. HQ city/state, AUM, check sizes, and deal type specifics not confirmed. Needs review for complete investment criteria and US investment activity confirmation.</t>
  </si>
  <si>
    <t>Main Post Partners, L.P.</t>
  </si>
  <si>
    <t>https://mainpostpartners.com</t>
  </si>
  <si>
    <t>3500.0</t>
  </si>
  <si>
    <t>2026-03-24</t>
  </si>
  <si>
    <t>Seeded from CapIQ export. Numeric fields are regex first-pass — crawler will confirm. capiq_description preserved for AI extraction fallback. | [extractor] PE firm focused exclusively on consumer sector with six defined investment areas: Personal Care &amp; Beauty, E-commerce &amp; Digitally Enabled, Multi Unit &amp; Consumer Services, Enthusiast &amp; Lifestyle, Food/Beverage/Wellness, and Consumer Value Chain. Explicit investment criteria stated for revenue ($50-500M+), EBITDA ($5-50M+), and check size ($50-250M+). Invests in both minority and majority positions with conservative leverage approach. Recent deals include Stellar Snacks (Mar 2026) and exit of Not Your Mother's (Mar 2026). HQ in San Francisco with additional office in Charlotte, NC. $3.5B AUM as of Dec 31, 2025.</t>
  </si>
  <si>
    <t>Mantucket Capital</t>
  </si>
  <si>
    <t>https://www.mantucket.com</t>
  </si>
  <si>
    <t>Seeded from CapIQ export. Numeric fields are regex first-pass — crawler will confirm. capiq_description preserved for AI extraction fallback. | [extractor] Mantucket Capital is a PE firm with diversified portfolio across Consumer (restaurants, retail), Industrials (equipment, services), Technology (SaaS), Healthcare, and Energy sectors. Currently maintains exclusive limited portfolio. Multiple confirmed exits (Applejack 2018, various acquisitions 2009-2021). HQ location, fund details, and AUM not disclosed on portfolio page. Firm engages in control buyouts with active operational involvement. Recent deals confirmed through case studies but specific deal dates and check sizes not provided.</t>
  </si>
  <si>
    <t>Maridea Wealth Management LLC</t>
  </si>
  <si>
    <t>https://marideawealth.com/</t>
  </si>
  <si>
    <t>Seeded from CapIQ export. Numeric fields are regex first-pass — crawler will confirm. capiq_description preserved for AI extraction fallback. | [extractor] About Us page contains only metadata and CSS markup; no substantive investment criteria found. Website structure visible but actual content not provided in source. Further review of other pages (investment criteria, portfolio, fund info) needed to extract meaningful data.</t>
  </si>
  <si>
    <t>Marrin Investment Partners</t>
  </si>
  <si>
    <t>Minnesota</t>
  </si>
  <si>
    <t>https://www.marrininvestment.com</t>
  </si>
  <si>
    <t>Seeded from CapIQ export. Numeric fields are regex first-pass — crawler will confirm. capiq_description preserved for AI extraction fallback. | [extractor] Marrin Investment Partners is a PE firm based in Minnesota (likely Minneapolis area based on staff locations and portfolio company LABB Collective in Edina). Targets founder/family-owned businesses in Services, Manufacturing &amp; Distribution up to $10M EBITDA. Geography and industry agnostic approach. Portfolio includes 5+ companies across apparel, nutrition, staffing, gear, and professional services. Over $600M transaction experience noted. HQ city not explicitly stated on pages reviewed. No specific fund name, vintage, or AUM disclosed.</t>
  </si>
  <si>
    <t>Mascarene Partners, LLC</t>
  </si>
  <si>
    <t>https://www.mascarene.com</t>
  </si>
  <si>
    <t>Seeded from CapIQ export. Numeric fields are regex first-pass — crawler will confirm. capiq_description preserved for AI extraction fallback. | [extractor] PE firm focused on middle-market control investments in transportation, industrial equipment, and infrastructure sectors. Team background shows expertise in leveraged buyouts and structured equity investments. Parent context suggests Onex Transportation Partners heritage. No explicit AUM, fund details, or HQ location found on portfolio page. Confidence medium due to inferred sector focus and deal type from team bios; needs review for complete fund structure and investment criteria details.</t>
  </si>
  <si>
    <t>McDonagh Family Office</t>
  </si>
  <si>
    <t>https://mcdonagh.tech</t>
  </si>
  <si>
    <t>Seeded from CapIQ export. Numeric fields are regex first-pass — crawler will confirm. capiq_description preserved for AI extraction fallback. | [extractor] Single-family office focused on AI, software, and data infrastructure technology investing. Founded by Matt McDonagh, former quantitative hedge fund co-founder and full-stack engineer. Portfolio includes Future Cardia and Geoship (hard tech). Invests operationally—bringing data engineering, software development, and revenue operations expertise to portfolio companies. No explicit geographic restrictions, check sizes, or financial criteria (revenue/EBITDA/EV ranges) disclosed. Activity confirmed as Active through 2025 media appearances and recent portfolio emphasis.</t>
  </si>
  <si>
    <t>Merit Management Group</t>
  </si>
  <si>
    <t>Johnston</t>
  </si>
  <si>
    <t>https://meritmgt.com</t>
  </si>
  <si>
    <t>Financial Services, Technology</t>
  </si>
  <si>
    <t>Seeded from CapIQ export. Numeric fields are regex first-pass — crawler will confirm. capiq_description preserved for AI extraction fallback. | [extractor] Merit Management Group is a professional services firm founded in 2023, not a PE/VC investor. Headquartered in Johnston, IA with 50+ staff. Provides fractional services: finance, technology, marketing, HR, advisory, and skilled trades. Has M&amp;A advisory team (VP of M&amp;A on staff) but is not structured as investment firm. Does not match PE/VC database criteria. Needs review: classified as 'Other' due to non-traditional structure.</t>
  </si>
  <si>
    <t>Mill Point Capital LLC</t>
  </si>
  <si>
    <t>https://www.millpoint.com</t>
  </si>
  <si>
    <t>3527.07</t>
  </si>
  <si>
    <t>Seeded from CapIQ export. Numeric fields are regex first-pass — crawler will confirm. capiq_description preserved for AI extraction fallback. | [extractor] PE firm targeting control investments in lower-middle market companies across Business Services, Industrials, and IT Services in North America. Portfolio shows 30+ investments with most recent deal in 2025 (SS8). Address: 1177 Avenue of the Americas, 45th Floor, New York, NY 10036. Explicit focus on operationally-intensive value creation, corporate carve-outs, and family/founder-owned businesses. No explicit investment size ranges, revenue/EBITDA/EV criteria, or fund-specific details found on website.</t>
  </si>
  <si>
    <t>Mitchell Capital, LLC</t>
  </si>
  <si>
    <t>https://www.mitchellgrowthequity.com</t>
  </si>
  <si>
    <t>Seeded from CapIQ export. Numeric fields are regex first-pass — crawler will confirm. capiq_description preserved for AI extraction fallback. | [extractor] Firm explicitly states 'growth equity' and invests in 'technology enabled service providers.' Portfolio includes companies in safety, drones, AI/imaging, workforce recruitment, manufacturing, and oil &amp; gas services. HQ location and AUM not disclosed on website. Firm name is 'Mitchell Capital, LLC' per domain, though website branding uses 'Mitchell Companies' and 'Mitchell Growth Equity.' No specific check size, fund name, or vintage year information available. Confidence is Medium due to limited financial data despite clear sector/deal type focus.</t>
  </si>
  <si>
    <t>Mitchell Family Office</t>
  </si>
  <si>
    <t>https://www.mitchellfo.com/</t>
  </si>
  <si>
    <t>Seeded from CapIQ export. Numeric fields are regex first-pass — crawler will confirm. capiq_description preserved for AI extraction fallback. | [extractor] Explicit investment criteria page found with detailed sector focus and EBITDA minimums. Primary emphasis on healthcare (post-acute care, home-based services, senior care, behavioral health, managed care, tech-enabled services, revenue cycle/practice management). Secondary focus on retail, personal care/cosmetics, consumer products, automotive, business services, education/edtech. Targets founder-owned companies with control positions, but explicitly open to minority growth equity investments. Minimum EBITDA $5M with preference for $10M-$50M at entry. Founded 2015, headquartered Birmingham MI. Over 20 companies invested since founding. No AUM, check sizes, or specific fund data disclosed.</t>
  </si>
  <si>
    <t>Monogram Capital Partners</t>
  </si>
  <si>
    <t>https://monogramcapital.com</t>
  </si>
  <si>
    <t>Consumer, Healthcare, Business Services</t>
  </si>
  <si>
    <t>Seeded from CapIQ export. Numeric fields are regex first-pass — crawler will confirm. capiq_description preserved for AI extraction fallback. | [extractor] Founded 2014, based Los Angeles. $1.5B+ total equity invested. Control-oriented buyouts in lower middle market consumer/retail. Flexible mandate $5-250M revenue, deploy up to $50M+ per investment. Sector focus: Food &amp; Beverage, Beauty &amp; Personal Care, Pets, Consumer Healthcare, Manufacturing, 4-Wall/Services. Large portfolio of active investments visible.</t>
  </si>
  <si>
    <t>Monomoy Capital Management, L.P.</t>
  </si>
  <si>
    <t>https://www.mcpfunds.com</t>
  </si>
  <si>
    <t>Seeded from CapIQ export. Numeric fields are regex first-pass — crawler will confirm. capiq_description preserved for AI extraction fallback. | [extractor] Page content is primarily JavaScript/CSS boilerplate with minimal substantive investment criteria data. Meta description indicates focus on 'Industrial and Consumer Business Investments' but no specific investment thresholds, deal types, check sizes, AUM, or other quantitative criteria were present in the extracted content. Page requires direct navigation to retrieve actual investment criteria details.</t>
  </si>
  <si>
    <t>Monument Capital Management, LLC</t>
  </si>
  <si>
    <t>https://mcmgmtllc.com/</t>
  </si>
  <si>
    <t>2025-12-17</t>
  </si>
  <si>
    <t>Monument Opportunity Fund V</t>
  </si>
  <si>
    <t>Seeded from CapIQ export. Numeric fields are regex first-pass — crawler will confirm. capiq_description preserved for AI extraction fallback. | [extractor] Monument Capital Management is a fully integrated real estate PE firm specializing in multifamily workforce housing acquisitions across US secondary markets. Founded by Alex Rodriguez and Ramon Corona. Over $1B invested across 5 funds (2013-2022) plus joint ventures. MOF IV (2019) and MOF V (2022) listed as active through 2026. Most recent deal: Grove Park Apartments acquisition in Tallahassee, FL (Dec 2025). HQ city/state not explicitly stated on provided pages.</t>
  </si>
  <si>
    <t>MoonPay USA LLC</t>
  </si>
  <si>
    <t>https://www.moonpay.com</t>
  </si>
  <si>
    <t>Seeded from CapIQ export. Numeric fields are regex first-pass — crawler will confirm. capiq_description preserved for AI extraction fallback. | [extractor] MoonPay USA LLC is a crypto payments and fintech platform (buy/sell/trade crypto), not a PE/VC investment firm. No investment criteria, fund details, AUM, deal types, or portfolio company data were found. This entity appears to have been submitted in error or may be a portfolio company rather than an investor. Needs review to confirm intent of inclusion in PE/VC database.</t>
  </si>
  <si>
    <t>Morgan Stanley Private Equity</t>
  </si>
  <si>
    <t>https://www.morganstanley.com/im/en-us/capital-seeker/capabilities/private-equity.html</t>
  </si>
  <si>
    <t>Seeded from CapIQ export. Numeric fields are regex first-pass — crawler will confirm. capiq_description preserved for AI extraction fallback. | [extractor] Page contains only corporate marketing content about Morgan Stanley's Inclusive &amp; Sustainable Ventures division. No specific investment criteria, fund details, check sizes, sector focus, or deal types are provided. Insufficient data to extract PE/VC criteria. Would require deeper pages on the Inclusive Ventures Group or specific fund documentation.</t>
  </si>
  <si>
    <t>Mountaingate Capital Management, L.P.</t>
  </si>
  <si>
    <t>https://mountaingate.com</t>
  </si>
  <si>
    <t>1400.0</t>
  </si>
  <si>
    <t>Seeded from CapIQ export. Numeric fields are regex first-pass — crawler will confirm. capiq_description preserved for AI extraction fallback. | [extractor] Page content is primarily JavaScript/tracking code with minimal visible investment criteria. Firm confirmed as PE based in Denver, CO. No specific investment criteria (deal types, sectors, check sizes, AUM, etc.) could be extracted from source. Full investments page content not accessible in provided data.</t>
  </si>
  <si>
    <t>Mutares SE &amp; Co. KGaA (XTRA:MUX)</t>
  </si>
  <si>
    <t>https://www.mutares.com/en/</t>
  </si>
  <si>
    <t>8455.77</t>
  </si>
  <si>
    <t>Seeded from CapIQ export. Numeric fields are regex first-pass — crawler will confirm. capiq_description preserved for AI extraction fallback. | [extractor] Mutares SE &amp; Co. KGaA is a listed German PE firm (XTRA:MUX) with 37 portfolio companies across five segments: Automotive &amp; Mobility, Energy &amp; Technology, Infrastructure &amp; Defense, Goods &amp; Services, and Chemicals &amp; Materials. Firm engages in control buyouts. Multiple portfolio companies span industrials, technology services, and specialized manufacturing sectors globally. HQ location not explicitly stated in provided content. AUM, check sizes, and specific investment criteria not disclosed on portfolio page.</t>
  </si>
  <si>
    <t>NMS Capital Group, LLC</t>
  </si>
  <si>
    <t>https://www.nmscapital.com</t>
  </si>
  <si>
    <t>Seeded from CapIQ export. Numeric fields are regex first-pass — crawler will confirm. capiq_description preserved for AI extraction fallback. | [extractor] Source pages contain only navigation menus and site structure. Portfolio page is password-protected. No investment criteria, fund details, AUM, deal history, sector focus, or investment size information could be extracted. Multiple business units indicated (PE, VC, Real Estate, Infrastructure, Structured Equity) but no specific criteria confirmed. Requires access to full website content for meaningful data extraction.</t>
  </si>
  <si>
    <t>Nautic Partners, LLC</t>
  </si>
  <si>
    <t>https://nautic.com</t>
  </si>
  <si>
    <t>9500.0</t>
  </si>
  <si>
    <t>Seeded from CapIQ export. Numeric fields are regex first-pass — crawler will confirm. capiq_description preserved for AI extraction fallback. | [extractor] Nautic Partners is a middle-market PE firm founded in 1986. Firm targets majority ownership (control) buyouts and growth opportunities in healthcare, industrials, and outsourced services. Makes $50-$400M+ equity commitments targeting companies with $100M-$1B+ enterprise values. Targets $25-$100M equity investments with proven business models and strong growth potential. Has managed $9.5B+ in equity capital and completed 120+ investments. North American middle market focus. Criteria page accessed but contained minimal additional structured data beyond portfolio specialties page.</t>
  </si>
  <si>
    <t>New Mountain Capital, LLC</t>
  </si>
  <si>
    <t>https://www.newmountaincapital.com</t>
  </si>
  <si>
    <t>46410.27</t>
  </si>
  <si>
    <t>Seeded from CapIQ export. Numeric fields are regex first-pass — crawler will confirm. capiq_description preserved for AI extraction fallback. | [extractor] Page content appears to be mostly HTML/CSS markup with limited substantive investment criteria data. Only confirmed that New Mountain Capital is a PE firm with tagline 'Building Great Businesses' and philosophy focused on 'business building rather than debt.' No explicit investment criteria, fund details, AUM, location, check sizes, or sector focus found. Requires review of complete website or additional sources for comprehensive criteria extraction.</t>
  </si>
  <si>
    <t>New World Angels, Inc.</t>
  </si>
  <si>
    <t>https://www.newworldangels.com</t>
  </si>
  <si>
    <t>Technology, Healthcare, Consumer</t>
  </si>
  <si>
    <t>Seeded from CapIQ export. Numeric fields are regex first-pass — crawler will confirm. capiq_description preserved for AI extraction fallback. | [extractor] Angel network investing in early-stage (Seed to Series A) companies. Founded 2014. $30M+ deployed to date. Based in Boca Raton, FL with 100+ members. Invests across technology, healthcare, consumer, industrial, and emerging sectors. No specific check size, fund structure, or detailed investment criteria disclosed on provided pages.</t>
  </si>
  <si>
    <t>NexPhase Capital, LP</t>
  </si>
  <si>
    <t>https://www.nexphase.com</t>
  </si>
  <si>
    <t>Seeded from CapIQ export. Numeric fields are regex first-pass — crawler will confirm. capiq_description preserved for AI extraction fallback. | [extractor] Page URL references 'Focus Sectors' but provided content is only CSS/JavaScript boilerplate with no extractable investment criteria. Actual page content not included in source material. Requires full HTML page content to extract sector focus, firm type, and other criteria.</t>
  </si>
  <si>
    <t>No Sleep Beverage</t>
  </si>
  <si>
    <t>https://www.nosleepbeverage.com</t>
  </si>
  <si>
    <t>Seeded from CapIQ export. Numeric fields are regex first-pass — crawler will confirm. capiq_description preserved for AI extraction fallback. | [extractor] No Sleep Beverage operates as a venture investor and brand operator in alcohol beverages (wine, spirits, cannabis-infused drinks). Portfolio includes 6+ brands (Barr Hill gin, Solento tequila, Madre Mezcal, Juliet wine, Yoju soju, Artet THC aperitif, Whiskey Del Bac, Ume). Describes services as 'Investment | Incubation | Acceleration'. No HQ location, AUM, check size, or explicit fund details provided on website. Launched No Sleep Beverage Inc. in March 2026 to own/operate brands directly. Confidence medium due to limited financial/operational data; needs_review true because firm model spans both venture investment and direct brand ownership, making classification ambiguous.</t>
  </si>
  <si>
    <t>Nordic Capital</t>
  </si>
  <si>
    <t>https://www.nordiccapital.com</t>
  </si>
  <si>
    <t>Seeded from CapIQ export. Numeric fields are regex first-pass — crawler will confirm. capiq_description preserved for AI extraction fallback. | [extractor] Nordic Capital is a PE firm investing in Northern Europe and North America. Two fund sizes identified: main strategy targets companies &gt;€300M, mid-market strategy €50-500M. Focus sectors: Healthcare, Technology &amp; Payments, Financial Services, Services &amp; Industrial Tech. Deal types: buyout, buy &amp; build, strategic repositioning, operational improvement. Partnership approach with majority ownership. US investments noted as part of selected geographies. HQ location and current AUM not found on this page. Confidence Medium due to reliance on inferred criteria from approach page; additional sources needed for fund specifics.</t>
  </si>
  <si>
    <t>North Branch Capital, LLC</t>
  </si>
  <si>
    <t>Oak Brook</t>
  </si>
  <si>
    <t>https://www.northbranchcap.com</t>
  </si>
  <si>
    <t>Seeded from CapIQ export. Numeric fields are regex first-pass — crawler will confirm. capiq_description preserved for AI extraction fallback. | [extractor] Lower middle market PE firm investing in industrial businesses. Investment criteria explicitly stated on focus page: $10-100M revenue, $2-10M EBITDA. Three focus areas: Value Added Distribution, Niche Manufacturing, Industrial &amp; Residential/Facility Services. 100+ investments completed over 20 years. Geography includes US and Canada. Operating partners provide hands-on support. PDF overview available: https://www.northbranchcap.com/images/home/NorthBranchCapital_Overview.pdf — not parsed. No fund-specific details, AUM, or vintage year disclosed.</t>
  </si>
  <si>
    <t>Northlane Capital Partners, LLC</t>
  </si>
  <si>
    <t>MD</t>
  </si>
  <si>
    <t>Bethesda</t>
  </si>
  <si>
    <t>https://www.northlanecapital.com</t>
  </si>
  <si>
    <t>Healthcare, Business Services</t>
  </si>
  <si>
    <t>Behavioral Health, Dental Services, Employer Health Benefits, Healthcare IT, Lab Services, Medical Device Outsourcing, Pharmaceutical Services, Regulatory and Compliance, Automation, Education, Training, and Certification, HR Outsourcing, Insurance Services, Legal Services, Logistics and Transportation, Software and IT Services, Testing, Inspection, Certification, and Compliance, Transaction-Based Financial Services</t>
  </si>
  <si>
    <t>1156.22</t>
  </si>
  <si>
    <t>Seeded from CapIQ export. Numeric fields are regex first-pass — crawler will confirm. capiq_description preserved for AI extraction fallback. | [extractor] Firm focuses on middle market buyouts in healthcare and business services. 100+ investments, $1.9B invested, 20+ years tenure. Brochure available at https://www.northlanecapital.com/wp-content/uploads/Northlane-Capital-Partners-Overview-March-2026.pdf but not parsed. No minimum EBITDA for add-on transactions. Does 80+ add-on transactions historically, indicating buy-and-build strategy but classified as Buyout per control acquisition model.</t>
  </si>
  <si>
    <t>Northrim Horizon L.P.</t>
  </si>
  <si>
    <t>AZ</t>
  </si>
  <si>
    <t>Mesa</t>
  </si>
  <si>
    <t>https://www.northrimhorizon.com</t>
  </si>
  <si>
    <t>Business Services, Consumer</t>
  </si>
  <si>
    <t>575.0</t>
  </si>
  <si>
    <t>Seeded from CapIQ export. Numeric fields are regex first-pass — crawler will confirm. capiq_description preserved for AI extraction fallback. | [extractor] Northrim Horizon is a permanent capital PE firm focused on acquiring well-run, profitable recurring revenue businesses with intent to own indefinitely. AUM of $575M+ and 75+ transactions completed confirmed. Portfolio includes landscape solutions, pest control, preschools, in-home care, apartment management, and commercial pools. Long-term hold strategy (not 3-5 year flip model). No explicit check size, revenue/EBITDA minimums, or specific fund vintage found. Geographic focus appears US-based but not explicitly stated.</t>
  </si>
  <si>
    <t>Nova Capital Management Limited</t>
  </si>
  <si>
    <t>https://nova-cap.com</t>
  </si>
  <si>
    <t>Seeded from CapIQ export. Numeric fields are regex first-pass — crawler will confirm. capiq_description preserved for AI extraction fallback. | [extractor] PE firm based in London with 20+ year track record. Three core strategies: Portfolio Acquisitions (PE portfolios, corporate subsidiaries, multi-business companies), Complex Single Company Acquisitions (multi-jurisdiction, turnarounds, hard-to-exit assets), and Portfolio Management Solutions (secondary/LP-led solutions). Operates across Europe, North America, and Asia. Has invested in 75+ underlying companies. Strategic relationship with US-based Kirchner Group. No specific deal size, sector, or financial criteria disclosed. Investments page provided no additional detail. High activity suggested by operational expertise and ongoing portfolio management work.</t>
  </si>
  <si>
    <t>Novacap Management Inc.</t>
  </si>
  <si>
    <t>https://novacapcorp.com</t>
  </si>
  <si>
    <t>Technology, Healthcare, Business Services</t>
  </si>
  <si>
    <t>7645.15</t>
  </si>
  <si>
    <t>Seeded from CapIQ export. Numeric fields are regex first-pass — crawler will confirm. capiq_description preserved for AI extraction fallback. | [extractor] Novacap Management Inc. is a Canadian PE firm with diverse portfolio spanning 40+ companies across Technology, Healthcare, Financial Services, and Industrials. Portfolio includes US and Canadian investments (Horizon in Ohio, Communications Tower Group LLC, etc.). Deal types inferred as control buyouts based on portfolio company acquisitions. HQ location not explicitly stated in source. AUM, fund details, and specific investment criteria not provided. Needs review to confirm HQ city/state and obtain detailed investment parameters.</t>
  </si>
  <si>
    <t>O2 Investment Partners, L.P.</t>
  </si>
  <si>
    <t>https://www.o2investment.com</t>
  </si>
  <si>
    <t>1812.3</t>
  </si>
  <si>
    <t>Seeded from CapIQ export. Numeric fields are regex first-pass — crawler will confirm. capiq_description preserved for AI extraction fallback. | [extractor] O2 Investment Partners is a PE firm focused on control acquisitions, buy-and-build, management buyouts, recaps, and family business succession. Investment approach emphasizes stable recurring cash flows, entrepreneurial management, defensible market position, and technology/innovation focus. Generalist mandate with no specific sector restrictions identified. Decentralized, hands-on approach. Website does not specify: HQ location, AUM, check size ranges, fund details, or investment size criteria. Needs review for complete location and fund data.</t>
  </si>
  <si>
    <t>OEP Capital Advisors L.P.</t>
  </si>
  <si>
    <t>https://www.oneequity.com</t>
  </si>
  <si>
    <t>Industrials, Healthcare, Technology</t>
  </si>
  <si>
    <t>2026-06-01</t>
  </si>
  <si>
    <t>Seeded from CapIQ export. Numeric fields are regex first-pass — crawler will confirm. capiq_description preserved for AI extraction fallback. | [extractor] One Equity Partners (OEP) is a PE firm focused on strategic combinations in the middle market. Geographic focus: North America and Western Europe. Explicit investment criteria provided for middle market buyouts with EV $100M-$1B, revenue $100M-$750M, EBITDA $10M-$150M, check sizes $30M-$150M. Target: B2B fragmented industries with combination-driven value creation. Recent deals: Leviat (06/2026), Kitwave Group (03/2026), Armis stake sale (04/2026) confirm active deal flow. HQ location not specified in source material.</t>
  </si>
  <si>
    <t>Oak Hill Capital Management, LLC</t>
  </si>
  <si>
    <t>https://oakhill.com</t>
  </si>
  <si>
    <t>13928.88</t>
  </si>
  <si>
    <t>Seeded from CapIQ export. Numeric fields are regex first-pass — crawler will confirm. capiq_description preserved for AI extraction fallback. | [extractor] Source is Terms and Conditions page only. Firm name confirmed as Oak Hill Capital Management, LLC. Firm type inferred as PE based on references to 'private equity investments in operating companies' and predecessor entities. No investment criteria, fund details, AUM, check sizes, sectors, deal types, or geographic focus found. Additional strategy/investment pages available but not provided in source material. Requires review of https://oakhill.com/strategy/, https://oakhill.com/firm/, and https://oakhill.com/investments/ for complete data extraction.</t>
  </si>
  <si>
    <t>OceanSound Partners, LP</t>
  </si>
  <si>
    <t>https://www.oceansoundpartners.com</t>
  </si>
  <si>
    <t>2024-09-23</t>
  </si>
  <si>
    <t>Seeded from CapIQ export. Numeric fields are regex first-pass — crawler will confirm. capiq_description preserved for AI extraction fallback. | [extractor] Portfolio companies generate $3.9B+ revenue; 12 portfolio companies identified across technology, defense/aerospace, infrastructure, and business services sectors. Headquarters in New York (primary) and West Palm Beach. PDF fact sheet referenced but not parsed: https://oceansoundpartners.com/wp-content/uploads/2026/03/OceanSound-Partners-Firm-Overview-April-2026.pdf. Firm type inferred as PE based on buyout activity and portfolio company profiles. Recent deal activity through 2024. AUM, fund vintage, and specific financial criteria not confirmed from available content.</t>
  </si>
  <si>
    <t>Olympus Advisors, LLC</t>
  </si>
  <si>
    <t>https://www.olympuspartners.com</t>
  </si>
  <si>
    <t>2026-04-14</t>
  </si>
  <si>
    <t>Seeded from CapIQ export. Numeric fields are regex first-pass — crawler will confirm. capiq_description preserved for AI extraction fallback. | [extractor] Founded 1998. Control middle market LBOs represent 80%+ of invested capital; 20% growth capital. Preferred ticket: $75M growth capital, $500M+ buyouts. Strong focus on growth, dominant market position, and management teams. Sector focus: Business Services, Consumer/Restaurant, Financial Services, Healthcare, Industrial/Packaging, Logistics/Transportation. Recent activity confirmed through 2026. HQ location not explicitly stated on provided pages.</t>
  </si>
  <si>
    <t>One Rock Capital Partners, LLC</t>
  </si>
  <si>
    <t>https://www.onerock.com</t>
  </si>
  <si>
    <t>Seeded from CapIQ export. Numeric fields are regex first-pass — crawler will confirm. capiq_description preserved for AI extraction fallback. | [extractor] Firm identified as One Rock Capital Partners, LLC from website domain and organization metadata. Page contains only site structure and CSS/styling code with no substantive investment criteria, portfolio details, or fund information. Requires review of additional pages to extract meaningful investment data.</t>
  </si>
  <si>
    <t>PPC Investment Partners LP</t>
  </si>
  <si>
    <t>https://www.ppcpartners.com</t>
  </si>
  <si>
    <t>7208.19</t>
  </si>
  <si>
    <t>Seeded from CapIQ export. Numeric fields are regex first-pass — crawler will confirm. capiq_description preserved for AI extraction fallback. | [extractor] Investment criteria explicitly detailed on website. PE firm focusing on Manufactured Products and Services sectors in North America. Prefers majority positions with flexibility for substantial minority stakes. Geography: North America-based companies. Equity check sizes $100M-$750M. EBITDA floor of $15M. Deal types include family/founder liquidity, management-led buyouts, corporate divestitures, and consolidations. PDF available at https://www.ppcpartners.com/p/PPC-Firm-Overview.pdf but content not fully parsed due to encoding.</t>
  </si>
  <si>
    <t>PRV Management, LP</t>
  </si>
  <si>
    <t>https://www.platteriverequity.com</t>
  </si>
  <si>
    <t>1700.0</t>
  </si>
  <si>
    <t>2026-01</t>
  </si>
  <si>
    <t>Seeded from CapIQ export. Numeric fields are regex first-pass — crawler will confirm. capiq_description preserved for AI extraction fallback. | [extractor] Platte River Equity (not PRV Management, LP). Firm clearly states 5 funds raised with &gt;$1.7B committed capital. Target EBITDA $5M–$30M. Majority ownership preferred. North America focus. Recent deals through Jan 2026 indicate active investment activity. Industrial distribution and engineered solutions focus across subsectors (testing, compliance, automation, power, aerospace). Founder/family-owned businesses targeted.</t>
  </si>
  <si>
    <t>Paceline Equity Partners, LLC</t>
  </si>
  <si>
    <t>https://www.pacelineequity.com</t>
  </si>
  <si>
    <t>2427.28</t>
  </si>
  <si>
    <t>Seeded from CapIQ export. Numeric fields are regex first-pass — crawler will confirm. capiq_description preserved for AI extraction fallback. | [extractor] Page source provided contains only navigation menu and CSS/styling code. No investment criteria, deal information, or firm details are present in the extracted content. The page title indicates 'Focus Areas' but the actual content is truncated. Full page content needed to extract meaningful investment data.</t>
  </si>
  <si>
    <t>Pacific Avenue Capital Partners, LLC</t>
  </si>
  <si>
    <t>https://www.pacificavenuecapital.com</t>
  </si>
  <si>
    <t>1800.0</t>
  </si>
  <si>
    <t>Seeded from CapIQ export. Numeric fields are regex first-pass — crawler will confirm. capiq_description preserved for AI extraction fallback. | [extractor] Page content was largely truncated; only meta description was parseable: 'Pacific Avenue seeks control investments in businesses with potential for transformational growth.' No financial criteria (revenue, EBITDA, check size, EV ranges), sectors, or HQ location confirmed from available content. Firm type inferred as PE based on control investment focus. Deal type inferred as Buyout from 'control investments' language. No fund details or AUM available. Full investment criteria page may contain more detail not captured due to truncation. | [extractor] Source page was heavily truncated. Only confirmed detail from schema.org metadata: 'Pacific Avenue seeks control investments in businesses with potential for transformational growth.' This confirms control-oriented buyout strategy. No financial criteria (revenue, EBITDA, check size, EV), sectors, geography, or fund details were extractable from the truncated content. HQ city/state not confirmed. Firm name includes 'Pacific Avenue' suggesting possible West Coast focus but not confirmed. | [extractor] Source page is the investment criteria page but content was largely truncated. Only extractable signal is the schema description: 'Pacific Avenue seeks control investments in businesses with potential for transformational growth.' This confirms control/buyout strategy. No financial criteria (revenue, EBITDA, EV, check size), sectors, or geography explicitly stated in available content. HQ city/state not confirmed. Site last modified 2026-03-26 per schema metadata, suggesting active firm. Needs review due to low data availability from truncated page. | [extractor] Source page content was heavily truncated — only the page metadata and schema markup were extractable. Schema description states 'Pacific Avenue seeks control investments in businesses with potential for transformational growth,' confirming control/buyout strategy. No sector, financial criteria, geography, fund, or AUM data confirmed. HQ city/state not found in available content. Page last modified 2026-03-26 per schema. Needs re-scrape of full page content to extract complete investment criteria. | [extractor] Source page content was largely CSS/JS with minimal readable investment criteria text. Schema description states 'Pacific Avenue seeks control investments in businesses with potential for transformational growth,' confirming control/buyout orientation. No financial thresholds (revenue, EBITDA, EV, check size), sector focus, geography, or fund details were extractable from the truncated content. HQ city/state not confirmed. Activity tier set to Active based on recent page modification date (2026-03-26). Needs review due to low data confidence and truncated source content.</t>
  </si>
  <si>
    <t>Palm Peak Capital, LLC</t>
  </si>
  <si>
    <t>https://www.palmpeakcapital.com</t>
  </si>
  <si>
    <t>Seeded from CapIQ export. Numeric fields are regex first-pass — crawler will confirm. capiq_description preserved for AI extraction fallback. | [extractor] Palm Peak Capital is a lower middle market PE firm focusing on industrial and business services across North America. Explicit investment criteria: $25M+ revenue for primary acquisitions, no minimum for add-ons, transaction values up to $250M. Situations include founder/family-owned, corporate carve-outs, management buyouts, sponsor-to-sponsor. Over two decades of operating history. HQ location not specified in provided pages.</t>
  </si>
  <si>
    <t>Partner One Capital</t>
  </si>
  <si>
    <t>https://partnerone.com/</t>
  </si>
  <si>
    <t>Seeded from CapIQ export. Numeric fields are regex first-pass — crawler will confirm. capiq_description preserved for AI extraction fallback. | [extractor] Content provided is a cookie consent banner and marketing homepage for PartnerOne software company. No PE/VC investment criteria identified. The firm appears to be an enterprise software company, not a PE/VC investor. Requires review of actual investor firm or additional source material to extract investment criteria.</t>
  </si>
  <si>
    <t>Partners Group Holding AG (SWX:PGHN)</t>
  </si>
  <si>
    <t>https://www.partnersgroup.com/en</t>
  </si>
  <si>
    <t>185000.0</t>
  </si>
  <si>
    <t>Seeded from CapIQ export. Numeric fields are regex first-pass — crawler will confirm. capiq_description preserved for AI extraction fallback. | [extractor] Partners Group is a diversified PE/infrastructure/real estate investment platform with USD 185B AuM and USD 261B invested since 1996. Listed on SIX Swiss Exchange. Website shows multiple investment verticals (Private Equity, Infrastructure, Real Estate, Private Credit, Royalties) but specific investment criteria, check sizes, revenue/EBITDA targets, and deal type preferences not detailed on this page. Firm describes thematic investing approach with transformational focus. HQ location not explicitly stated in source; only confirmed Switzerland as country of listing.</t>
  </si>
  <si>
    <t>Partners Group Private Equity</t>
  </si>
  <si>
    <t>https://www.group.com</t>
  </si>
  <si>
    <t>174000.0</t>
  </si>
  <si>
    <t>Seeded from CapIQ export. Numeric fields are regex first-pass — crawler will confirm. capiq_description preserved for AI extraction fallback. | [extractor] Source page is a ministry/curriculum website (group.com) unrelated to Partners Group Private Equity. Content is primarily JavaScript/web framework code with no investment criteria, firm information, or PE/VC data. Page appears to be misidentified or URL is incorrect. No extractable data available.</t>
  </si>
  <si>
    <t>Patient Square Capital, LP</t>
  </si>
  <si>
    <t>https://www.patientsquarecapital.com</t>
  </si>
  <si>
    <t>17512.55</t>
  </si>
  <si>
    <t>Seeded from CapIQ export. Numeric fields are regex first-pass — crawler will confirm. capiq_description preserved for AI extraction fallback. | [extractor] Limited data extracted from approach page schema. Confirms healthcare focus and partnership model with management teams. No specific investment criteria (check size, revenue/EBITDA ranges, AUM, fund details) found. Full website content not provided—appears to be CSS/schema markup only. Needs review of complete website content for fund details, investment parameters, and location.</t>
  </si>
  <si>
    <t>Patria Investments Limited (NASDAQGS:PAX)</t>
  </si>
  <si>
    <t>São Paulo</t>
  </si>
  <si>
    <t>https://www.patria.com</t>
  </si>
  <si>
    <t>52000.0</t>
  </si>
  <si>
    <t>Seeded from CapIQ export. Numeric fields are regex first-pass — crawler will confirm. capiq_description preserved for AI extraction fallback. | [extractor] Global alternative asset manager with 37 years experience, $52B pro forma AUM. Listed on NASDAQ (PAX). Focuses on mid-market segment across Private Equity, Credit, Real Estate, Infrastructure, Public Equities. Main sectors: Agribusiness, Power &amp; Energy, Healthcare, Logistics &amp; Transportation, Food &amp; Beverage, Digital &amp; Tech Services. Primary regions: Latin America (leading position), Europe, US. 11 global offices. Disciplined, hands-on investment approach with sector and regional expertise.</t>
  </si>
  <si>
    <t>Peak Rock Capital LLC</t>
  </si>
  <si>
    <t>https://www.peakrockcapital.com</t>
  </si>
  <si>
    <t>18.0</t>
  </si>
  <si>
    <t>299.0</t>
  </si>
  <si>
    <t>Consumer, Technology, Industrials, Healthcare</t>
  </si>
  <si>
    <t>Seeded from CapIQ export. Numeric fields are regex first-pass — crawler will confirm. capiq_description preserved for AI extraction fallback. | [extractor] PE firm with multiple strategies (Private Equity, Credit, Real Assets). Investment size $30MM-$1.3B; EV target $18-299MM. Focus on buyouts, family/founder capital, corporate carveouts, growth capital, restructurings/turnarounds. 70+ investments across North America and Europe. Secondary HQ in London. Recent exits 2020-2026 indicate active portfolio management.</t>
  </si>
  <si>
    <t>Pelican Energy Partners LP.</t>
  </si>
  <si>
    <t>https://www.pelicanenergypartners.com</t>
  </si>
  <si>
    <t>Energy, Industrials</t>
  </si>
  <si>
    <t>Seeded from CapIQ export. Numeric fields are regex first-pass — crawler will confirm. capiq_description preserved for AI extraction fallback. | [extractor] SEC-registered investment advisor. 4 funds raised totaling $1B AUM. 33 platform investments completed. Focus on oilfield services and nuclear services companies. Target EBITDA $1M-$15M (up to $30M+). Control buyouts of established, profitable businesses. 210+ years combined industry expertise. Based in Houston, energy industry hub.</t>
  </si>
  <si>
    <t>Pennington Creek Capital, LLC</t>
  </si>
  <si>
    <t>https://www.penningtoncreek.com</t>
  </si>
  <si>
    <t>Industrials, Consumer, Energy</t>
  </si>
  <si>
    <t>2025-08-11</t>
  </si>
  <si>
    <t>Seeded from CapIQ export. Numeric fields are regex first-pass — crawler will confirm. capiq_description preserved for AI extraction fallback. | [extractor] Sovereign wealth holdco backed by Chickasaw Nation with permanent capital. Focuses on lower middle-market control acquisitions and structured equity (minority) investments. Hold period 7-20+ years. Target mature, cash-generative businesses with strong FCF conversion. US and Canada geographic focus. Recent acquisition: Rite in the Rain (August 2025).</t>
  </si>
  <si>
    <t>Perceptive Advisors LLC</t>
  </si>
  <si>
    <t>https://www.perceptivelife.com</t>
  </si>
  <si>
    <t>Healthcare, Financial Services</t>
  </si>
  <si>
    <t>8459.66</t>
  </si>
  <si>
    <t>Perceptive Life Sciences Fund, Perceptive Credit Opportunities Fund, Perceptive Xontogeny Venture Fund</t>
  </si>
  <si>
    <t>Seeded from CapIQ export. Numeric fields are regex first-pass — crawler will confirm. capiq_description preserved for AI extraction fallback. | [extractor] Investments page found but contains only HTML/CSS markup without actual investment criteria data. Four strategies identified from navigation: Life Sciences, Credit Opportunities, Capital Solutions, Venture Capital. Three funds identified with investor portals. HQ location, AUM, check sizes, deal sizes, and specific investment criteria not extractable from this source. Page requires parsing of actual investment portfolio data which was not present in the provided source.</t>
  </si>
  <si>
    <t>Percheron Investment Management, LP</t>
  </si>
  <si>
    <t>https://www.percheron.com</t>
  </si>
  <si>
    <t>Seeded from CapIQ export. Numeric fields are regex first-pass — crawler will confirm. capiq_description preserved for AI extraction fallback. | [extractor] Terms of Use page only - no investment criteria data found. Page references 'private investment funds advised by Percheron' and mentions portfolio companies, confirming PE activity, but no specific investment criteria (check sizes, sectors, deal types, geography, fund details, AUM) are disclosed. Requires review of main website pages or fund documentation for investable criteria.</t>
  </si>
  <si>
    <t>Petershill Partners plc</t>
  </si>
  <si>
    <t>https://am.gs.com/en-gb/institutions/products/general-partner-stakes</t>
  </si>
  <si>
    <t>3300000.0</t>
  </si>
  <si>
    <t>Seeded from CapIQ export. Numeric fields are regex first-pass — crawler will confirm. capiq_description preserved for AI extraction fallback. | [extractor] Source is Goldman Sachs Asset Management general corporate page, not Petershill Partners. Page describes GSAM as a broad asset manager with $3.3T AUS as of Dec 31 2025. No investment criteria, deal types, sectors, check sizes, or fund-specific information found. No information about Petershill Partners extracted. Incorrect firm in source material.</t>
  </si>
  <si>
    <t>Phenna Group Holdings Limited</t>
  </si>
  <si>
    <t>https://phennagroup.com</t>
  </si>
  <si>
    <t>Seeded from CapIQ export. Numeric fields are regex first-pass — crawler will confirm. capiq_description preserved for AI extraction fallback. | [extractor] Phenna Group Holdings Limited is a PE-backed consolidator of TICC (Testing, Inspection, Certification, Compliance) businesses founded in 2019. HQ confirmed as London, Kings Cross. Firm acquires and integrates specialist companies across Built Environment, Infrastructure, Industrials, Certification &amp; Compliance, and Food &amp; Life Sciences divisions. Global operations across Americas, APAC, EMEA, and UK/Ireland regions indicate US investment activity. No explicit investment criteria (check sizes, target revenue/EBITDA ranges, fund details) disclosed on pages reviewed. Deal type inferred as Buyout based on acquisition and integration language ('we don't simply acquire businesses'). Vintage year 2019 confirmed from founding date.</t>
  </si>
  <si>
    <t>Pike Street Capital LP</t>
  </si>
  <si>
    <t>https://www.pikestreetcapital.com</t>
  </si>
  <si>
    <t>Seeded from CapIQ export. Numeric fields are regex first-pass — crawler will confirm. capiq_description preserved for AI extraction fallback. | [extractor] Only HTML/CSS markup and schema.org metadata extracted from approach page. No substantive investment criteria, deal types, sectors, check sizes, AUM, or fund information visible in provided content. Full page text content not present in source. Requires review of actual page content or additional pages to confirm investment criteria.</t>
  </si>
  <si>
    <t>Platinum Equity, LLC</t>
  </si>
  <si>
    <t>https://www.platinumequity.com</t>
  </si>
  <si>
    <t>10000.0</t>
  </si>
  <si>
    <t>Technology, Media, Consumer</t>
  </si>
  <si>
    <t>12400.0</t>
  </si>
  <si>
    <t>2025-12-31</t>
  </si>
  <si>
    <t>Platinum Equity Capital Partners VI</t>
  </si>
  <si>
    <t>Seeded from CapIQ export. Numeric fields are regex first-pass — crawler will confirm. capiq_description preserved for AI extraction fallback. | [extractor] PE firm with explicit investment criteria on website. Private equity acquisitions $100M-$10B EV across all industries and geographies. Private credit for businesses with $15-75M EBITDA, primarily North America. 73 transactions completed in 2025 (11 platforms, 48 add-ons, 11 divestitures, 3 credit deals). Fund VI closed 2024 at $12.4B. Deal types confirmed: buyout, recaps, and special situations. HQ location not stated on provided pages.</t>
  </si>
  <si>
    <t>Ponte Partners</t>
  </si>
  <si>
    <t>https://www.pontepartners.com</t>
  </si>
  <si>
    <t>Seeded from CapIQ export. Numeric fields are regex first-pass — crawler will confirm. capiq_description preserved for AI extraction fallback. | [extractor] Secondary market investor acquiring LP interests in PE/VC funds and direct private company portfolios. Transaction range $2M-$100M enterprise value. Focus on US and Europe with emphasis on smaller market end. Strong expertise in technology and digital health. Deal types include secondary LP purchases, direct portfolio acquisitions, and GP restructuring—does not fit standard PE/VC buyout or growth equity categories, classified as Other.</t>
  </si>
  <si>
    <t>Portrait Capital, LLC</t>
  </si>
  <si>
    <t>https://www.portraitcap.com</t>
  </si>
  <si>
    <t>Healthcare, Agriculture</t>
  </si>
  <si>
    <t>Seeded from CapIQ export. Numeric fields are regex first-pass — crawler will confirm. capiq_description preserved for AI extraction fallback. | [extractor] Portrait Capital invests in majority acquisitions (&gt;51%) with $1-5M pre-tax profits (interpreted as EBITDA). Geography: US and Canada with flexibility. Key sectors: Consumer, Industrials, Business Services, Agriculture, Healthcare. Focus on repeat revenue, limited economic cycle exposure, diverse customer base. Manages committed capital for 70+ founders/family offices. 80+ acquisitions completed historically. No specific headquarters location found; confidence Medium due to missing HQ details and AUM data. Needs review: EBITDA range inferred from 'pre-tax profits' language.</t>
  </si>
  <si>
    <t>Prairie Wealth Advisors, Inc.</t>
  </si>
  <si>
    <t>NE</t>
  </si>
  <si>
    <t>https://www.prairiewealthadvisors.com</t>
  </si>
  <si>
    <t>Seeded from CapIQ export. Numeric fields are regex first-pass — crawler will confirm. capiq_description preserved for AI extraction fallback. | [extractor] Prairie Wealth Advisors is a Registered Investment Adviser (RIA) focused on wealth management and strategic financial planning for high-net-worth individuals, not a PE/VC firm. No investment criteria, deal types, sector focus, or fund information found. Regulatory documents referenced (CRS, ADV) at https://prairiewealthadvisors.com/wp-content/uploads/2024/04/CRS-February-2024.pdf and https://prairiewealthadvisors.com/wp-content/uploads/2026/05/165266-2.pdf not parsed. This firm appears to be outside typical PE/VC scope.</t>
  </si>
  <si>
    <t>Procyon Advisors, LLC</t>
  </si>
  <si>
    <t>Fulton</t>
  </si>
  <si>
    <t>https://www.procyonpartners.net</t>
  </si>
  <si>
    <t>9200.0</t>
  </si>
  <si>
    <t>Seeded from CapIQ export. Numeric fields are regex first-pass — crawler will confirm. capiq_description preserved for AI extraction fallback. | [extractor] Procyon Advisors is a wealth management and advisory firm with headquarters in Fulton, MD and secondary location in Shelton, CT. Website indicates $9.2B AUM based on media article headline mentioning 'family office for middle america.' However, this firm appears to be primarily a wealth management/advisory firm offering wealth management, tax &amp; accounting, risk management, employee benefits, and institutional investment advisory services. No explicit PE/VC investment criteria, deal types, sector focus, check sizes, or deal activity found on website. Firm_type set to Family Office based on family office services offering, but confidence is medium as this is not the primary business model indicated. Needs review to confirm actual investment vehicle type and criteria.</t>
  </si>
  <si>
    <t>Promise Holdings LLC</t>
  </si>
  <si>
    <t>https://www.promise-holdings.com</t>
  </si>
  <si>
    <t>Buyout, Growth Equity, Minority, Venture</t>
  </si>
  <si>
    <t>Promise Opportunity Fund</t>
  </si>
  <si>
    <t>Seeded from CapIQ export. Numeric fields are regex first-pass — crawler will confirm. capiq_description preserved for AI extraction fallback. | [extractor] Promise Holdings is a Chicago-based diverse-owned private holding and investment company focused on Consumer sectors: Food &amp; Beverage, Fashion &amp; Beauty, Entertainment &amp; Leisure, and Consumer Technology (the 'Four F's'). Explicitly states EBITDA of $1M+ for buyouts; early-stage VC investments also made at various profitability stages. Deal types include control buyouts, minority growth equity, and venture. No fixed exit horizon. Also operates Promise Opportunity Fund, a separate vehicle investing in real estate and operating companies in Federally Designated Opportunity Zones. Portfolio includes both consumer companies and an outlier (IGeneX, a clinical laboratory in healthcare) and Sparkstone Electrical Group (electrical distribution), suggesting some generalist activity despite stated consumer focus. No AUM, fund size, check size, or vintage year disclosed. HQ city inferred as Chicago based on founder biography and contact phone number (312 area code). needs_review flagged due to portfolio companies outside stated consumer focus and limited financial criteria disclosed.</t>
  </si>
  <si>
    <t>Promus Capital Management LLC</t>
  </si>
  <si>
    <t>https://www.promuscapital.com</t>
  </si>
  <si>
    <t>Seeded from CapIQ export. Numeric fields are regex first-pass — crawler will confirm. capiq_description preserved for AI extraction fallback. | [extractor] Promus Capital is a multi-strategy private markets platform with $1.5B AUM. Confirmed: PE team focuses on U.S. lower-middle market direct buyouts, primary fund allocation, and co-investments. Real Estate team invests in GP equity and co-led JV developments. Headquarters: Chicago, IL. Overview PDF available at https://promuscapital.com/wp-content/uploads/2026/05/Promus-2Pager-20260511.pdf (not parsed). Data gaps: specific check sizes, EBITDA/revenue targets, fund vintage years, and detailed sector breakdown beyond Real Estate and general PE.</t>
  </si>
  <si>
    <t>Promus Equity Partners, LLC</t>
  </si>
  <si>
    <t>https://www.promusequity.com</t>
  </si>
  <si>
    <t>Buyout, Recap, Growth Equity, Minority, Other</t>
  </si>
  <si>
    <t>Industrials, Education</t>
  </si>
  <si>
    <t>Seeded from CapIQ export. Numeric fields are regex first-pass — crawler will confirm. capiq_description preserved for AI extraction fallback. | [extractor] Promus Equity Partners is a family office founded in 2010. HQ: Chicago, IL. Focus on lower-middle-market companies with flexible investment mandate. Invests in leveraged buyouts, management buyouts, recaps, majority/minority positions, and growth equity for established businesses. Portfolio includes 20+ companies across business services, consumer products, distribution, education, food &amp; beverage, healthcare, and proprietary industrial products. Explicitly states minority and majority equity participation. No PDF criteria link found.</t>
  </si>
  <si>
    <t>Prospect Partners, L.L.C.</t>
  </si>
  <si>
    <t>https://www.prospect-partners.com</t>
  </si>
  <si>
    <t>7.33</t>
  </si>
  <si>
    <t>Seeded from CapIQ export. Numeric fields are regex first-pass — crawler will confirm. capiq_description preserved for AI extraction fallback. | [extractor] PE firm with 175+ transactions focused on small company buyouts across manufacturing, distribution, food &amp; consumer, and specialty services. Portfolio includes companies in HVAC, landscaping, hospitality, aerospace, food processing. Invests nationwide in U.S. Registered investment advisor. HQ location not specified on page. Fund-specific details (vintage, AUM, check size) not disclosed. Firm overview PDF referenced at: https://haej3ymnxz.wpdns.site/wp-content/uploads/2025/06/Prospect-Partners-Brief-Overview.pdf (not parsed). Needs review due to missing HQ location and specific investment criteria.</t>
  </si>
  <si>
    <t>Proterra Investment Partners LP</t>
  </si>
  <si>
    <t>https://www.proterrapartners.com</t>
  </si>
  <si>
    <t>3611.73</t>
  </si>
  <si>
    <t>Rural Growth</t>
  </si>
  <si>
    <t>Seeded from CapIQ export. Numeric fields are regex first-pass — crawler will confirm. capiq_description preserved for AI extraction fallback. | [extractor] Proterra Investment Partners LP operates multiple strategies. Extracted data from Growth Equity (Rural Growth) fund page. Fund targets rural US food and agribusiness. Explicit investment criteria provided: $10-100M EV, $5-100M revenue, $0-10M EBITDA, $3-15M check size. Deal types include Series A through control buyouts (selective basis). HQ location not found in provided content. Firm manages multiple strategies (Credit, Farmland, Net Lease, Sustainable Ag, Asia, PVI). Activity inferred as Active based on recent completed financings listed.</t>
  </si>
  <si>
    <t>Provest Equity Partners</t>
  </si>
  <si>
    <t>https://www.provestequity.com</t>
  </si>
  <si>
    <t>Seeded from CapIQ export. Numeric fields are regex first-pass — crawler will confirm. capiq_description preserved for AI extraction fallback. | [extractor] PE firm focused on healthcare and growth capital. Founded by Suhas Uppalapati (Managing Partner) and Kerry Byler (Founding Partner). Kerry's prior experience at BlueCross BlueShield Venture Partners oversaw $300M AUM. Team demonstrates healthcare investment expertise and track record with platform acquisitions and exits. Contact: dealflow@provestequity.com, 3379 Peachtree Rd. NE, Ste. 700, Atlanta, GA 30326. No specific fund size, vintage year, or investment check size ranges found.</t>
  </si>
  <si>
    <t>Proviso Capital LLC</t>
  </si>
  <si>
    <t>https://www.provisocapital.com</t>
  </si>
  <si>
    <t>Seeded from CapIQ export. Numeric fields are regex first-pass — crawler will confirm. capiq_description preserved for AI extraction fallback. | [extractor] Proviso Capital is a PE firm focused on lower middle market platform buyouts in competitive niche industries. Portfolio includes construction, hospitality, IT services, software, and merchandising companies. Investment criteria (revenue/EBITDA/check size ranges) not disclosed on website. No fund details, AUM, or explicit deal size information available.</t>
  </si>
  <si>
    <t>RAISE Impact</t>
  </si>
  <si>
    <t>https://www.raise.co/activites/raise-impact</t>
  </si>
  <si>
    <t>Industrials, Business Services, Technology</t>
  </si>
  <si>
    <t>395.0</t>
  </si>
  <si>
    <t>Seeded from CapIQ export. Numeric fields are regex first-pass — crawler will confirm. capiq_description preserved for AI extraction fallback. | [extractor] RAISE Impact is a European small-mid cap PE strategy focusing on impact investing. Founded 2019. 360M€ AUM (approx 395M USD). Targets French and European SMEs/mid-market companies (€10-250M revenue) with positive EBITDA. Investment tickets €10-30M. Invests as minority or active majority shareholder. 16 portfolio companies, 90+ add-on acquisitions. Focus on energy transition, nature-based solutions, circular economy, and social inclusion. Article 9 SFDR fund with SBTI-like trajectory. European-focused, no US investments confirmed.</t>
  </si>
  <si>
    <t>RF Investment Partners, LLC</t>
  </si>
  <si>
    <t>https://www.rf-partners.com</t>
  </si>
  <si>
    <t>Seeded from CapIQ export. Numeric fields are regex first-pass — crawler will confirm. capiq_description preserved for AI extraction fallback. | [extractor] Portfolio page contains only HTML/CSS/JavaScript code with no investment criteria, portfolio holdings, or firm details. Page structure visible but content not rendered. Requires access to actual portfolio data or firm criteria documentation.</t>
  </si>
  <si>
    <t>Radial Equity Partners LP</t>
  </si>
  <si>
    <t>https://www.radialequity.com</t>
  </si>
  <si>
    <t>Seeded from CapIQ export. Numeric fields are regex first-pass — crawler will confirm. capiq_description preserved for AI extraction fallback. | [extractor] Radial invests in middle market industrial businesses via buyouts, corporate divestitures, ESOP-owned, family-owned, and recaps. HQ location not confirmed. Fact sheet PDF available at https://www.radialequity.com/s/Updated-Radial-Fact-Sheet.pdf but not parsed. Portfolio page shows current and realized investments but no specific financial metrics disclosed. Confidence medium due to explicit deal types and sector but missing key location and fund details.</t>
  </si>
  <si>
    <t>Ranger Aerospace, LLC</t>
  </si>
  <si>
    <t>SC</t>
  </si>
  <si>
    <t>Greenville</t>
  </si>
  <si>
    <t>https://www.rangeraerospace.com</t>
  </si>
  <si>
    <t>Seeded from CapIQ export. Numeric fields are regex first-pass — crawler will confirm. capiq_description preserved for AI extraction fallback. | [extractor] Ranger Aerospace is a PE firm focused on aerospace/aviation services consolidation since 1997. HQ: Greenville, SC. Explicit criteria: revenues &gt;$10M or EBITDA &gt;$2M, profitability required, strong management. Deal strategy: platform acquisitions with add-on consolidation, organic growth, JVs. Active investor seeking platform companies in MRO, airlines services, airfield operations, aftermarket parts, precision manufacturing. Co-invests with institutional PE partners. Newsletter PDFs available (Ranger Review Vol I-III) but not parsed.</t>
  </si>
  <si>
    <t>Recognize Partners LP</t>
  </si>
  <si>
    <t>https://www.recognize.com</t>
  </si>
  <si>
    <t>Seeded from CapIQ export. Numeric fields are regex first-pass — crawler will confirm. capiq_description preserved for AI extraction fallback. | [extractor] Firm name is 'Recognize' (not 'Recognize Partners LP' as stated). Website confirms PE focus on technology sector. Page title references 'Private Equity Approach' and 'technology' but content is heavily truncated (CSS/HTML boilerplate). No investment criteria, fund details, deal types, check sizes, geography, or deal history extracted from available content. Requires access to full page content or additional sources.</t>
  </si>
  <si>
    <t>Red Arts Capital Management, LLC</t>
  </si>
  <si>
    <t>https://www.redartscapital.com</t>
  </si>
  <si>
    <t>Logistics, Value-Added Manufacturing, Paper &amp; Packaging, Aerospace &amp; Defense</t>
  </si>
  <si>
    <t>Warehousing &amp; Fulfillment, Contract Logistics, Distribution, Third-Party Logistics, Specialty Transportation, Contract Manufacturing, Contract Packaging, Precision Manufacturing, Food &amp; Beverage</t>
  </si>
  <si>
    <t>2025-09-15</t>
  </si>
  <si>
    <t>Seeded from CapIQ export. Numeric fields are regex first-pass — crawler will confirm. capiq_description preserved for AI extraction fallback. | [extractor] Investment criteria explicitly state platform EBITDA of $5M+; add-ons are any size. Focus on supply chain sectors: logistics, value-added manufacturing, paper/plastics/packaging, aerospace &amp; defense, and business services. Portfolio includes active investments in 3PL, contract packaging, precision machining, and specialty transportation across North America (US and Canada). Most recent deal apparent from September 2025 (BelPak rebranding/merger announcement). Deal types inferred as buyout/platform-and-add-on strategy. No fund name, vintage, AUM, or check size disclosed.</t>
  </si>
  <si>
    <t>Red Knot Capital LLC</t>
  </si>
  <si>
    <t>https://redknotcapital.com</t>
  </si>
  <si>
    <t>Seeded from CapIQ export. Numeric fields are regex first-pass — crawler will confirm. capiq_description preserved for AI extraction fallback. | [extractor] Red Knot Capital appears to be an operating partner/advisory firm hybrid rather than traditional PE/VC. Website states 'We acquire, modernize, and grow scalable businesses' with focus on consumer verticals, supply chain, digital commerce, and retail. References managing/scaling $250M–$10B+ businesses. Operating model suggests buyout-oriented with embedded operational value creation. Located Pittsburgh, PA. Firm type unclear—may be Fundless Sponsor or Other. No explicit fund details, AUM, or check sizes disclosed. Actively evaluating acquisitions in 'specialized training, human performance, retail services, high-trust professional services.' Needs review due to ambiguity around whether this is an investment firm or operating advisory platform.</t>
  </si>
  <si>
    <t>Redwood Growth Partners</t>
  </si>
  <si>
    <t>https://www.redwoodgrowth.net</t>
  </si>
  <si>
    <t>Seeded from CapIQ export. Numeric fields are regex first-pass — crawler will confirm. capiq_description preserved for AI extraction fallback. | [extractor] Redwood Growth Partners is a lower-middle-market PE firm acquiring companies with $2M-$15M EBITDA. Founder Arun Shekar has M&amp;A expertise and operational background. Team includes healthcare-focused operating advisors (Neil Meltzer, Mark Monson, Dennis Empey with 30+ years healthcare experience). Portfolio includes senior care services (Oxford Care LLC). Flexible structures offered including partial exits. HQ location not explicitly stated on provided pages. No fund information, AUM, or check size details found.</t>
  </si>
  <si>
    <t>Renvent Advisors, LLC</t>
  </si>
  <si>
    <t>https://www.renventadvisors.com</t>
  </si>
  <si>
    <t>6.0</t>
  </si>
  <si>
    <t>8.0</t>
  </si>
  <si>
    <t>Technology, Business Services, Healthcare</t>
  </si>
  <si>
    <t>Financial Services, Industrials</t>
  </si>
  <si>
    <t>Government</t>
  </si>
  <si>
    <t>Seeded from CapIQ export. Numeric fields are regex first-pass — crawler will confirm. capiq_description preserved for AI extraction fallback. | [extractor] PE firm targeting B2B Technology &amp; Services with control buyout and recap strategies. Vertical software targets: $6M+ revenue, EBITDA positive or negative with path to sustainability, $25-100M checks, 5+ year operating history, English-speaking HQ preferred (North America or Australia). Business Services targets: US HQ with &gt;50% US revenue, $8M-$50M EBITDA, control buy-and-build. No explicit HQ location stated on website (AVIATOR reference in London unclear). Fund details (name, vintage, AUM) not disclosed. Last deal date unknown. Needs review: conflicting revenue thresholds ($6M vs $8M) between verticals; HQ location ambiguous.</t>
  </si>
  <si>
    <t>Reseda Group LLC</t>
  </si>
  <si>
    <t>East Lansing</t>
  </si>
  <si>
    <t>https://www.resedagroup.com</t>
  </si>
  <si>
    <t>Seeded from CapIQ export. Numeric fields are regex first-pass — crawler will confirm. capiq_description preserved for AI extraction fallback. | [extractor] Reseda Group is a Credit Union Service Organization (CUSO), not a traditional PE/VC firm. Founded 2021, wholly-owned by Michigan State University Federal Credit Union. Develops, invests in, and operates fintech products and companies serving credit unions and financial institutions. Portfolio includes wholly-owned companies (Foresight Group, M3 Group, pocketnest) and strategic investment partners. Investment focus on financial services technology, digital banking, payments, commercial lending, and consumer engagement. Does not appear to be a traditional buyout or growth equity firm—structure is closer to corporate venture/innovation arm. Firm type classified as 'Other' due to unique CUSO structure. No traditional fund information, check sizes, or explicit investment criteria found.</t>
  </si>
  <si>
    <t>Respida Capital LLC</t>
  </si>
  <si>
    <t>https://respida.com</t>
  </si>
  <si>
    <t>Seeded from CapIQ export. Numeric fields are regex first-pass — crawler will confirm. capiq_description preserved for AI extraction fallback. | [extractor] Source page contains only HTML/CSS font declarations and Framer website markup. No investment criteria, firm details, fund information, or deal data extracted. Content appears to be page header/styling only. Requires review of actual business content pages to extract investment criteria.</t>
  </si>
  <si>
    <t>Revelar Capital</t>
  </si>
  <si>
    <t>https://revelarcapital.com</t>
  </si>
  <si>
    <t>Seeded from CapIQ export. Numeric fields are regex first-pass — crawler will confirm. capiq_description preserved for AI extraction fallback. | [extractor] Source page https://revelarcapital.com/approach contains only HTML structure and CSS styling with no substantive investment criteria, financial metrics, deal types, sectors, or fund information. Requires review of additional pages (e.g., about, portfolio, funds) to extract meaningful data.</t>
  </si>
  <si>
    <t>Rhone Group L.L.C.</t>
  </si>
  <si>
    <t>https://www.rhonegroup.com</t>
  </si>
  <si>
    <t>8150.92</t>
  </si>
  <si>
    <t>Seeded from CapIQ export. Numeric fields are regex first-pass — crawler will confirm. capiq_description preserved for AI extraction fallback. | [extractor] Firm identified as Rhône Group, transatlantic middle-market PE investor. Portfolio page confirms focus on business services, consumer, and industrial sectors with multitude of industries. Headquarters location not confirmed from provided content. No specific deal sizes, fund details, AUM, or financial criteria provided on portfolio page. Needs full website review for contact info, fund structure, and investment criteria details.</t>
  </si>
  <si>
    <t>Riata Capital Group, LLC</t>
  </si>
  <si>
    <t>https://www.riatacapital.com</t>
  </si>
  <si>
    <t>Healthcare, Business Services, Industrials</t>
  </si>
  <si>
    <t>Seeded from CapIQ export. Numeric fields are regex first-pass — crawler will confirm. capiq_description preserved for AI extraction fallback. | [extractor] PE firm based in Dallas, TX. Principals managed 5 PE funds with 47 platform acquisitions and 450+ add-ons totaling $7.7B in transaction value and $2B+ invested capital. Portfolio spans healthcare services, business services, industrials, and consumer sectors. Deal types include buyouts and recapitalizations. Multiple exits documented. No explicit fund details, AUM, or investment size criteria disclosed on provided pages.</t>
  </si>
  <si>
    <t>Ridgemont Partners Management, LLC</t>
  </si>
  <si>
    <t>https://www.ridgemontep.com</t>
  </si>
  <si>
    <t>Seeded from CapIQ export. Numeric fields are regex first-pass — crawler will confirm. capiq_description preserved for AI extraction fallback. | [extractor] Ridgemont Equity Partners is a PE firm based in Charlotte, NC. Portfolio page states $6B+ of buyout and growth capital deployed across 170+ private companies. Recent deals through 2026 indicate active investment. Sectors identified from portfolio companies include healthcare, industrials/logistics, and business services. Brochure PDF available at https://www.ridgemontep.com/wp-content/uploads/REP-Brochure-4.9.26.pdf — not parsed. AUM, fund details, and specific check sizes not disclosed on portfolio page.</t>
  </si>
  <si>
    <t>Ridgewood Infrastructure, LLC</t>
  </si>
  <si>
    <t>https://ridgewoodinfrastructure.com</t>
  </si>
  <si>
    <t>1818.68</t>
  </si>
  <si>
    <t>2026-03-09</t>
  </si>
  <si>
    <t>Seeded from CapIQ export. Numeric fields are regex first-pass — crawler will confirm. capiq_description preserved for AI extraction fallback. | [extractor] Ridgewood Infrastructure is a PE firm focused on essential infrastructure in the U.S. lower middle market. Explicitly states equity investments of $50-$150M. Sectors include Water, Utilities, Power &amp; Renewables, Transportation, and Communications. HQ at 527 Madison Avenue, New York, NY. Active deal activity confirmed as recently as March 2026 (Sierra Railroad acquisition, APP sale). No AUM, specific fund name, or revenue/EBITDA criteria disclosed on site.</t>
  </si>
  <si>
    <t>Riverarch Equity Partners</t>
  </si>
  <si>
    <t>https://www.pncriverarch.com</t>
  </si>
  <si>
    <t>2026-02-13</t>
  </si>
  <si>
    <t>Seeded from CapIQ export. Numeric fields are regex first-pass — crawler will confirm. capiq_description preserved for AI extraction fallback. | [extractor] Growth-focused PE firm with explicit investment criteria on website. Invested $1.7B+ across 40 platform acquisitions and 130+ add-ons. Recent activity through Feb 2026. Investment Criteria page accessible but specific sector focus not detailed in provided content. Firm overview PDF referenced at https://www.riverarch.com/content/dam/riverarch/pdfs/riverarch-firm-overview.pdf — not parsed.</t>
  </si>
  <si>
    <t>Riverspan Partners LP</t>
  </si>
  <si>
    <t>https://www.riverspan.com</t>
  </si>
  <si>
    <t>338.62</t>
  </si>
  <si>
    <t>Seeded from CapIQ export. Numeric fields are regex first-pass — crawler will confirm. capiq_description preserved for AI extraction fallback. | [extractor] Riverspan Partners is a Chicago-based PE firm focused on industrials sector middle market companies with $5–35M EBITDA. Ownership types sourced include family/founder-owned, private owners, sponsor-backed, and public companies. Sub-sectors include Chemicals &amp; Materials, Industrial Tech &amp; Engineered Components, Building Products, Industrial Services, and Healthcare Manufacturing. Deal types inferred as Buyout/Growth Equity based on context; no explicit deal type labels used. No fund name, AUM, check size, or revenue data found on site. Portfolio/experience page content was truncated.</t>
  </si>
  <si>
    <t>Rockwood Equity Partners, LLC</t>
  </si>
  <si>
    <t>Cleveland</t>
  </si>
  <si>
    <t>https://www.rockwoodequity.com</t>
  </si>
  <si>
    <t>Seeded from CapIQ export. Numeric fields are regex first-pass — crawler will confirm. capiq_description preserved for AI extraction fallback. | [extractor] Rockwood Equity Partners is a lower middle market PE firm with 25+ years of experience. Explicit investment criteria: B2B companies in North America with $2-7M EBITDA in industrials and regulated sectors (aerospace, defense, environmental, healthcare). Multiple office locations (Cleveland, Denver, New York). Fact sheet PDF available at https://www.rockwoodequity.com/wp-content/uploads/2026/05/Rockwood-Fact-Sheet-2026.pdf — not parsed. No AUM, fund vintage, or specific check size information found on homepage.</t>
  </si>
  <si>
    <t>SBJ Capital</t>
  </si>
  <si>
    <t>https://www.sbjcap.com</t>
  </si>
  <si>
    <t>Buyout, Mezzanine</t>
  </si>
  <si>
    <t>Commercial &amp; Residential Services, Education &amp; Training, Facility Services, Legal Services, Professional Services, Testing, Inspection, Certification &amp; Compliance, Contract Manufacturing, Food &amp; Beverage, Foodservice, Consumer Products, Consumer Services &amp; Experiences, Essential Services, Knowledge Services, Outsourced Services, Risk Management &amp; Compliance Services, Tech-Enabled Services</t>
  </si>
  <si>
    <t>537.0</t>
  </si>
  <si>
    <t>Seeded from CapIQ export. Numeric fields are regex first-pass — crawler will confirm. capiq_description preserved for AI extraction fallback. | [extractor] SBJ Capital founded 1999, operates two strategies: Buyout (control acquisitions) and Flexible Capital (SBJ Elevation, mezzanine debt/equity). Check sizes vary by strategy: Buyout $10-50mm equity, Flexible Capital $5-40mm. Revenue and EBITDA ranges vary slightly between strategies; consolidated ranges shown. 23+ completed investments, 12 current portfolio companies noted. HQ location not specified on website. Placeholder content sections noted but did not contain investment criteria.</t>
  </si>
  <si>
    <t>SI Private Capital</t>
  </si>
  <si>
    <t>https://www.siprivatecap.com</t>
  </si>
  <si>
    <t>Buyout, Growth Equity, Recap, Distressed, Other</t>
  </si>
  <si>
    <t>Financial Services, Business Services, Healthcare</t>
  </si>
  <si>
    <t>Seeded from CapIQ export. Numeric fields are regex first-pass — crawler will confirm. capiq_description preserved for AI extraction fallback. | [extractor] Family office-backed fund manager focused on lower middle market. Provides flexible debt and equity capital solutions. Primarily Southeast US but considers exceptional opportunities elsewhere. Team has 135+ years combined experience. Explicit investment criteria provided on website including normalized EBITDA range $2-10MM and $5MM minimum check size. Deal types include performing buyouts, growth, recapitalization, and distressed situations.</t>
  </si>
  <si>
    <t>SK Capital Partners, LP</t>
  </si>
  <si>
    <t>https://www.skcapitalpartners.com</t>
  </si>
  <si>
    <t>Industrials, Healthcare, Infrastructure</t>
  </si>
  <si>
    <t>Seeded from CapIQ export. Numeric fields are regex first-pass — crawler will confirm. capiq_description preserved for AI extraction fallback. | [extractor] Page content consists entirely of CSS and WordPress styling code with no actual investment criteria, portfolio information, or firm details. The strategy page URL exists but no parseable content was extracted. Requires review of actual page content or alternative source documents.</t>
  </si>
  <si>
    <t>SNH Capital Partners</t>
  </si>
  <si>
    <t>https://www.snhcapitalpartners.com</t>
  </si>
  <si>
    <t>Seeded from CapIQ export. Numeric fields are regex first-pass — crawler will confirm. capiq_description preserved for AI extraction fallback. | [extractor] Page content is JavaScript/obfuscated code only. No investment criteria, fund information, or company details could be extracted. Actual page content not accessible.</t>
  </si>
  <si>
    <t>SRM Equity Partners, LLC</t>
  </si>
  <si>
    <t>https://www.srmequity.com</t>
  </si>
  <si>
    <t>Seeded from CapIQ export. Numeric fields are regex first-pass — crawler will confirm. capiq_description preserved for AI extraction fallback. | [extractor] Website content is primarily CSS/JavaScript framework code with minimal substantive investment criteria. Only confirmable data: firm makes 'direct control investments' in 'niche sectors' focusing on 'middle-market companies' (suggests PE Buyout). No geographic HQ location, sector focus, fund details, or sizing parameters found. Requires review of additional pages (Portfolio, About, Team, News, Contact) or direct contact for complete criteria.</t>
  </si>
  <si>
    <t>SaaS Opportunity Capital LLC</t>
  </si>
  <si>
    <t>https://saasopportunitycapital.com</t>
  </si>
  <si>
    <t>Recap</t>
  </si>
  <si>
    <t>Seeded from CapIQ export. Numeric fields are regex first-pass — crawler will confirm. capiq_description preserved for AI extraction fallback. | [extractor] Firm self-describes as 'private equity firm' focusing on 'mid-range software companies' with emphasis on recapitalization into existing products and cloud transition. Founded 2022. Deal type inferred as Recap based on explicit language 'Recapitalization Into Existing Products.' No HQ location, AUM, check size, or specific financial criteria disclosed. Geographic scope (US vs. other) unconfirmed. Needs review: classification between PE and VC unclear given focus on existing/established companies with customer base (PE-like) but language about 'growth' and 'innovation' could suggest growth equity positioning.</t>
  </si>
  <si>
    <t>Salt Creek Capital II, LLC</t>
  </si>
  <si>
    <t>Woodside</t>
  </si>
  <si>
    <t>https://www.saltcreekcap.com</t>
  </si>
  <si>
    <t>0.75</t>
  </si>
  <si>
    <t>Seeded from CapIQ export. Numeric fields are regex first-pass — crawler will confirm. capiq_description preserved for AI extraction fallback. | [extractor] Firm founded 2009, 150+ completed transactions. Targets lower middle-market control buyouts and majority recaps. EBITDA or annual cash flow criteria: $750K to $20M. U.S. and Canada headquarters preferred. Excludes distressed/turnaround situations. Geographic scope includes U.S. and Canada but primarily U.S. based on HQ location and descriptions. No fund vintage year or AUM disclosed on website.</t>
  </si>
  <si>
    <t>Saothair Capital Partners, LLC</t>
  </si>
  <si>
    <t>https://www.saothair.com</t>
  </si>
  <si>
    <t>Buyout, Distressed, Recap</t>
  </si>
  <si>
    <t>500.71</t>
  </si>
  <si>
    <t>Seeded from CapIQ export. Numeric fields are regex first-pass — crawler will confirm. capiq_description preserved for AI extraction fallback. | [extractor] PE firm focused on lower-middle market manufacturing and industrials in North America. Explicit focus on special situations, operational turnarounds, divestitures, and restructurings. No HQ location, AUM, fund details, or specific investment sizing criteria found on website. Needs_review=true due to lack of specific financial thresholds and incomplete location data.</t>
  </si>
  <si>
    <t>Savory Fund</t>
  </si>
  <si>
    <t>UT</t>
  </si>
  <si>
    <t>Salt Lake City</t>
  </si>
  <si>
    <t>https://savoryfund.com</t>
  </si>
  <si>
    <t>2025-06-12</t>
  </si>
  <si>
    <t>Seeded from CapIQ export. Numeric fields are regex first-pass — crawler will confirm. capiq_description preserved for AI extraction fallback. | [extractor] Savory Fund is a PE-style fund focused exclusively on food &amp; beverage / restaurant brands. Portfolio includes Swig, Mo' Bettahs, Houston TX Hot Chicken, Hash Kitchen, Via 313 Pizzeria, and Hawkers. Most recent deal: investment in Hawkers (June 12, 2025) and acquisition of a Utah bakery (June 5, 2025). Fund appears to take growth equity or minority stakes in founder-led restaurant concepts with expansion potential. HQ inferred as Utah based on portfolio company origins and team references; city not explicitly stated. No financial criteria (check size, revenue, EBITDA thresholds) disclosed on site. Deal type inferred from founder partnership language. AUM not disclosed. needs_review set true due to inferred HQ city and inferred deal types.</t>
  </si>
  <si>
    <t>Seekye Capital</t>
  </si>
  <si>
    <t>VA</t>
  </si>
  <si>
    <t>Purcellville</t>
  </si>
  <si>
    <t>https://seekyecapital.com</t>
  </si>
  <si>
    <t>Seeded from CapIQ export. Numeric fields are regex first-pass — crawler will confirm. capiq_description preserved for AI extraction fallback. | [extractor] Seekye Capital is a PE firm based in Purcellville, VA focusing on business transitions and growth partnerships. Portfolio includes Advantage Septic Service, Duvall Wheeler, Joiner Micro Lab, and SES Company. Deal types inferred from mission language: 'Legacy Transitions' (control buyouts), 'Growth Partnerships' (minority/non-control), and 'Strategic Acquisitions' (buy-and-build). No explicit investment criteria found (check sizes, revenue/EBITDA ranges, fund details). Activity appears active based on recent portfolio company visibility. Needs review: firm_type inferred as PE based on control acquisition language and portfolio structure; sector classification based on visible portfolio companies only.</t>
  </si>
  <si>
    <t>Seneca Partners Limited</t>
  </si>
  <si>
    <t>https://www.senecapartners.co.uk</t>
  </si>
  <si>
    <t>Seeded from CapIQ export. Numeric fields are regex first-pass — crawler will confirm. capiq_description preserved for AI extraction fallback. | [extractor] UK-based VC firm (Seneca Partners Limited) with EIS portfolio service. Portfolio page shows 40+ early-stage companies across healthcare, technology, and business services sectors. Firm focuses on venture/growth stage investments in UK. Geographic focus appears UK-only based on portfolio composition and EIS/VCT regulatory framework. No specific fund details, check sizes, or financial criteria disclosed on portfolio page. HQ location not specified in provided content.</t>
  </si>
  <si>
    <t>Serent Capital Management Company, L.L.C.</t>
  </si>
  <si>
    <t>https://www.serentcapital.com</t>
  </si>
  <si>
    <t>5107.58</t>
  </si>
  <si>
    <t>Seeded from CapIQ export. Numeric fields are regex first-pass — crawler will confirm. capiq_description preserved for AI extraction fallback. | [extractor] Portfolio page confirms Serent invests in software, technology &amp; SaaS companies with growth capital and private equity. Page description mentions 'founder-led' companies and 'value creation' approach. Firm type inferred as PE based on growth capital + equity investment language. Deal types inferred from 'growth capital' and equity investment language, though Growth Equity classification needs verification for control vs. non-control approach. No HQ location, fund details, AUM, check sizes, or financial metrics provided on this page. Needs review: Growth Equity vs. Buyout distinction unclear from available data.</t>
  </si>
  <si>
    <t>Seviora Holdings Pte. Ltd.</t>
  </si>
  <si>
    <t>Singapore</t>
  </si>
  <si>
    <t>https://www.sevioracapital.com/index.html</t>
  </si>
  <si>
    <t>Technology, Consumer, Industrials</t>
  </si>
  <si>
    <t>Seviora T3F Fund</t>
  </si>
  <si>
    <t>Seeded from CapIQ export. Numeric fields are regex first-pass — crawler will confirm. capiq_description preserved for AI extraction fallback. | [extractor] Seviora Holdings Pte. Ltd. is a multi-asset, multi-manager asset management group owned by Temasek, headquartered in Singapore. AUM of $10Bn as of 31 December 2025 (combined Seviora Capital and Pavilion Capital). Primary focus is Asia-Pacific private equity and absolute return strategies. Seviora T3F Fund targets venture capital and growth equity in Agri-Food companies in APAC. No explicit US investment criteria found; regional focus is Asia. No specific check size, revenue, or EBITDA minimums disclosed. Confidence is Medium due to limited specificity on investment criteria. Needs review due to multi-manager structure and lack of explicit deal size or company stage criteria.</t>
  </si>
  <si>
    <t>Shamrock Capital Advisors, LLC</t>
  </si>
  <si>
    <t>https://www.shamrockcap.com</t>
  </si>
  <si>
    <t>Media, Technology</t>
  </si>
  <si>
    <t>6723.17</t>
  </si>
  <si>
    <t>Seeded from CapIQ export. Numeric fields are regex first-pass — crawler will confirm. capiq_description preserved for AI extraction fallback. | [extractor] Shamrock Capital Advisors is a PE firm based in Los Angeles, CA. Portfolio shows control acquisitions across media, technology, advertising, sports, entertainment, and content sectors. Firm describes investment approach as seeking companies with 'strong management teams and attractive business models poised for growth.' Two strategies identified: PE Strategy (Growth Fund) and Content Strategy (Content Fund). No specific deal criteria (check size, revenue/EBITDA thresholds) found on portfolio page. US-focused investments evident from portfolio composition. Recently active with numerous portfolio companies.</t>
  </si>
  <si>
    <t>Sheridan Capital Partners</t>
  </si>
  <si>
    <t>https://www.sheridancp.com</t>
  </si>
  <si>
    <t>875.0</t>
  </si>
  <si>
    <t>Seeded from CapIQ export. Numeric fields are regex first-pass — crawler will confirm. capiq_description preserved for AI extraction fallback. | [extractor] Strategy page confirms focus on healthcare services and growth equity with long-term operational partnership. Page meta description states 'investment strategy focused on healthcare services, growth equity' but no financial criteria, fund details, or HQ location provided. Schema markup and page content heavily truncated in source. Requires additional pages or full website content for geographic, AUM, check size, and deal activity data.</t>
  </si>
  <si>
    <t>Shore Capital Partners, LLC</t>
  </si>
  <si>
    <t>https://www.shorecp.com</t>
  </si>
  <si>
    <t>Consumer, Real Estate</t>
  </si>
  <si>
    <t>17000.0</t>
  </si>
  <si>
    <t>Seeded from CapIQ export. Numeric fields are regex first-pass — crawler will confirm. capiq_description preserved for AI extraction fallback. | [extractor] Shore Capital Partners is a PE firm actively investing in lower middle market companies. Platform investments target $5-100m revenue with $1-10m EBITDA. Add-on investments $1m+ revenue with no minimum EBITDA. Focus sectors: healthcare, food &amp; beverage, business services, industrials, real estate. 86 platform companies, 22 realized exits, ~$17B AUM. HQ Chicago; secondary office Nashville. Also operates a search fund vertical.</t>
  </si>
  <si>
    <t>Siris Capital Group, LLC</t>
  </si>
  <si>
    <t>https://www.siris.com</t>
  </si>
  <si>
    <t>2024-12-20</t>
  </si>
  <si>
    <t>Seeded from CapIQ export. Numeric fields are regex first-pass — crawler will confirm. capiq_description preserved for AI extraction fallback. | [extractor] Siris Capital Group is a PE firm targeting tech and tech-enabled services companies. Cumulative committed capital of $5.9B confirmed. Target EBITDA $10-50M and transaction values $100-500M explicitly stated. Focus on operationally-driven buyouts with multiple value creation levers. Portfolio includes Gigamon (network solutions), BearCom (communications infrastructure), and EQ (regulatory technology). Most recent deal activity December 2024. No fund-specific vintage year or number found on pages provided.</t>
  </si>
  <si>
    <t>Sixth Street Growth</t>
  </si>
  <si>
    <t>https://www.sixthstreet.com/growth</t>
  </si>
  <si>
    <t>130000.0</t>
  </si>
  <si>
    <t>2026-06-03</t>
  </si>
  <si>
    <t>Seeded from CapIQ export. Numeric fields are regex first-pass — crawler will confirm. capiq_description preserved for AI extraction fallback. | [extractor] Sixth Street Growth is the dedicated growth equity platform of Sixth Street. Deal explicitly characterized as 'minority strategic growth equity investment' of over $1 billion in Kpler (June 2026). Firm has 750+ team members and 300+ investment professionals globally. Focuses on mid- and late-stage technology companies with growth capital and bespoke solutions.</t>
  </si>
  <si>
    <t>Sixth Street Partners, LLC</t>
  </si>
  <si>
    <t>https://www.sixthstreet.com</t>
  </si>
  <si>
    <t>Seeded from CapIQ export. Numeric fields are regex first-pass — crawler will confirm. capiq_description preserved for AI extraction fallback. | [extractor] Founded 2009. Global firm with $130B+ AUM, 750+ team members, ~300 investment professionals, investing in 25+ countries. Invests across all stages of growth with diverse sector focus (Technology, Healthcare, Industrials, Financial Services, Consumer, Real Estate, Energy, Business Services, Media). Recent deals in 2024-2025 confirm active investment activity. HQ location not explicitly stated on provided page content.</t>
  </si>
  <si>
    <t>Skylark Private Equity Partners, LP</t>
  </si>
  <si>
    <t>https://www.skylarkpe.com</t>
  </si>
  <si>
    <t>Seeded from CapIQ export. Numeric fields are regex first-pass — crawler will confirm. capiq_description preserved for AI extraction fallback. | [extractor] About page contains only schema metadata and styling code; no substantive investment criteria, fund details, or portfolio information extracted. Website appears to be https://skylarkpe.com. Firm type inferred as PE based on firm name (Skylark Private Equity Partners, LP). Further pages or documents needed to extract investment criteria.</t>
  </si>
  <si>
    <t>Skyline Investors, LLC</t>
  </si>
  <si>
    <t>https://www.skylineinv.com</t>
  </si>
  <si>
    <t>Buyout, Growth Equity, Mezzanine</t>
  </si>
  <si>
    <t>125.0</t>
  </si>
  <si>
    <t>2026-02-03</t>
  </si>
  <si>
    <t>Seeded from CapIQ export. Numeric fields are regex first-pass — crawler will confirm. capiq_description preserved for AI extraction fallback. | [extractor] Inaugural fund closed July 2025 with $125M AUM. Focus on micromarket businesses in underserved communities. Investment criteria explicitly state $5-50mm revenue, $1-5mm cash flow, and control/growth/mezz capital. Portfolio companies span healthcare (mental health, pain management, ENT, ABA therapy), rent-to-own (furniture, home goods), and property management. HQ: Los Angeles, CA. Most recent deal Feb 2026 (Buddy's Home Furnishings acquisition).</t>
  </si>
  <si>
    <t>Snapdragon Capital Partners LLC</t>
  </si>
  <si>
    <t>https://snapdragoncap.com</t>
  </si>
  <si>
    <t>1216.33</t>
  </si>
  <si>
    <t>2025-05-05</t>
  </si>
  <si>
    <t>Seeded from CapIQ export. Numeric fields are regex first-pass — crawler will confirm. capiq_description preserved for AI extraction fallback. | [extractor] Snapdragon Capital Partners is a PE firm focused on consumer and healthcare sectors. Explicit investment range $40–$200M equity checks. Deal types include both growth equity and leveraged buyout flexibility. Recent activity through May 2025. HQ location not disclosed on website. Founded by Mark Grabowski (ex-TPG, L Catterton). Portfolio includes Xponential Fitness, Fullscript, Club Pilates, Spartan Fitness, and others in health &amp; wellness, consumer services, and fitness segments.</t>
  </si>
  <si>
    <t>Solen Software Group, Inc</t>
  </si>
  <si>
    <t>Utah</t>
  </si>
  <si>
    <t>https://www.solensoftwaregroup.com/</t>
  </si>
  <si>
    <t>Seeded from CapIQ export. Numeric fields are regex first-pass — crawler will confirm. capiq_description preserved for AI extraction fallback. | [extractor] Solen Software Group is a software-focused PE firm acquiring niche enterprise B2B software companies. ARR target range $1M-$20M annually (inferred as check size proxy). Majority control acquisitions with permanent capital, no exit strategy. Offices in Salt Lake City (HQ), São Paulo, Toronto, NYC, Lisbon. Named to 2025 Inc. 5000 and Top 50 Lower Middle Market Tech Investors. Founder-CEO Alexander Spencer. No explicit fund name, vintage, AUM, or financial multiples disclosed on pages provided.</t>
  </si>
  <si>
    <t>Sound Growth Partners</t>
  </si>
  <si>
    <t>https://soundgrowthpartners.com</t>
  </si>
  <si>
    <t>Seeded from CapIQ export. Numeric fields are regex first-pass — crawler will confirm. capiq_description preserved for AI extraction fallback. | [extractor] PE firm focused on lower middle market buyouts with One-Stop Buyout® proprietary structure. Target sectors: business services, consumer, distribution, light manufacturing. Multiple offices: Seattle, Washington DC, Dallas. Portfolio shows active deal activity. No specific fund details, AUM, check sizes, or target company metrics disclosed on portfolio/about pages.</t>
  </si>
  <si>
    <t>Soundcore Capital Partners, LP</t>
  </si>
  <si>
    <t>https://www.soundcorecap.com</t>
  </si>
  <si>
    <t>14.0</t>
  </si>
  <si>
    <t>400.42</t>
  </si>
  <si>
    <t>Seeded from CapIQ export. Numeric fields are regex first-pass — crawler will confirm. capiq_description preserved for AI extraction fallback. | [extractor] Thesis-driven lower middle-market PE firm founded in 2015. Control equity buyouts with buy-and-build strategy. Target: highly fragmented, recession-resistant industries with $1B+ TAM. EBITDA $2-14M, 30%+ gross margins, 10%+ EBITDA margins, 90%+ FCF conversion. Multiple funds (Fund I, II, III) referenced. Geography includes USA and Canada. No AUM or specific fund vintage data publicly disclosed.</t>
  </si>
  <si>
    <t>SouthWorth Capital Management</t>
  </si>
  <si>
    <t>TN</t>
  </si>
  <si>
    <t>Memphis</t>
  </si>
  <si>
    <t>https://www.southworthcapitalmanagement.com</t>
  </si>
  <si>
    <t>Industrials, Business Services, Real Estate</t>
  </si>
  <si>
    <t>Seeded from CapIQ export. Numeric fields are regex first-pass — crawler will confirm. capiq_description preserved for AI extraction fallback. | [extractor] SouthWorth Capital Management is a Memphis, TN-based private equity firm employing a 'House of Brands' buy-and-build acquisition strategy across highly diversified sectors. Current portfolio includes platforms in furniture manufacturing, equipment leasing, auto body repair, crane/lift rental, landscaping, technology/software, advertising, engineering/architecture, real estate, logistics, roofing, rent-to-own buildings, and building services (HVAC, electrical, painting). Realized investments include footwear retail (City Gear), imaging supplies (OTS), and transportation factoring (Vero Business Capital). No explicit investment criteria (deal size, revenue, EBITDA, check size) were found on the portfolio page. Confidence is Medium due to broad sector activity inferred from portfolio; formal criteria not published. needs_review flagged due to lack of explicit financial criteria and very broad sector diversification.</t>
  </si>
  <si>
    <t>Southfield Capital LP</t>
  </si>
  <si>
    <t>https://www.southfieldcapital.com/</t>
  </si>
  <si>
    <t>2057.16</t>
  </si>
  <si>
    <t>Seeded from CapIQ export. Numeric fields are regex first-pass — crawler will confirm. capiq_description preserved for AI extraction fallback. | [extractor] Source page https://www.southfieldcapital.com/investment-criteria provided only HTML/CSS markup and JavaScript boilerplate. No actual investment criteria content was extracted. Page content appears to not have loaded or been included in the source. Requires direct access to rendered page content to extract firm details.</t>
  </si>
  <si>
    <t>Spell Capital Partners, LLC</t>
  </si>
  <si>
    <t>MN</t>
  </si>
  <si>
    <t>Edina</t>
  </si>
  <si>
    <t>https://www.spellcapital.com</t>
  </si>
  <si>
    <t>2026-03-02</t>
  </si>
  <si>
    <t>Seeded from CapIQ export. Numeric fields are regex first-pass — crawler will confirm. capiq_description preserved for AI extraction fallback. | [extractor] Spell Capital is a PE firm with 38+ years of track record (founded 1988). Manages $700M AUM. Focuses on control buyouts of manufacturing/service/distribution businesses with minimum $5M stable cash flow. Also does public-to-private, corporate divestitures, family transitions, and growth capital. Invests both US and international. Recent deals include MacDonald &amp; Owen (March 2026) and Norshield Security Products exit (Dec 2024). Portfolio includes corrugated packaging and colorants manufacturing.</t>
  </si>
  <si>
    <t>Sportsology Capital Partners LTD</t>
  </si>
  <si>
    <t>https://scpartnerssport.com</t>
  </si>
  <si>
    <t>Media</t>
  </si>
  <si>
    <t>Seeded from CapIQ export. Numeric fields are regex first-pass — crawler will confirm. capiq_description preserved for AI extraction fallback. | [extractor] Firm co-founded in 2023, focuses on strategic capital solutions to professional sports franchises, leagues, and SME platforms in sports. UK registration (LTD) but serves US franchises (NFL, NBA, MLB, NHL, MLS) and European soccer. HQ location not explicitly stated on website. Deal types inferred as control-oriented buyouts based on 'capital solutions' language and founding partner's PE background (Central Park Group, Coller Capital secondaries experience). No explicit fund size, check size, or financial criteria disclosed. Confidence Medium due to limited financial detail; needs_review=true due to UK registration vs US focus and lack of specific investment criteria.</t>
  </si>
  <si>
    <t>Staple Street Capital LLC</t>
  </si>
  <si>
    <t>https://www.staplestreetcapital.com</t>
  </si>
  <si>
    <t>Healthcare, Financial Services, Technology</t>
  </si>
  <si>
    <t>Energy, Media</t>
  </si>
  <si>
    <t>Seeded from CapIQ export. Numeric fields are regex first-pass — crawler will confirm. capiq_description preserved for AI extraction fallback. | [extractor] Staple Street Capital is a PE firm with ~$900M AUM. Investment criteria explicitly states control transactions, $75-500M revenue target companies, $50-200M+ equity checks. Deal types include family business acquisitions, corporate carve-outs, take-privates, recaps, and complex situations. Portfolio spans automotive, business services, chemicals, communications, consumer, distribution, energy, financial services, healthcare, and industrial/manufacturing. Brochure PDF available: https://www.staplestreetcapital.com/Staple_Street_Capital_Brochure_2025_Final.pdf — not parsed. HQ location not found in provided content.</t>
  </si>
  <si>
    <t>Stellex Capital Management LLC</t>
  </si>
  <si>
    <t>https://www.stellexcapital.com</t>
  </si>
  <si>
    <t>Seeded from CapIQ export. Numeric fields are regex first-pass — crawler will confirm. capiq_description preserved for AI extraction fallback. | [extractor] Confirmed HQ location (New York, NY) and multiple office locations (Detroit, London, Pittsburgh). Firm type inferred as PE based on website description 'private equity firm that invests in middle-market companies' and portfolio of current/prior investments. Pages show investment portfolio but no detailed investment criteria visible. One-Pager PDF found at https://www.stellexcapital.com/wp-content/uploads/2025/04/Stellex-Capital-Management-One-Pager-2025.03_v03-1.pdf — not parsed. Insufficient data on fund structure, check sizes, sectors, EBITDA/revenue requirements, or specific deal types. Needs_review=true due to lack of explicit criteria data.</t>
  </si>
  <si>
    <t>Sterling Investment Partners Advisers, LLC</t>
  </si>
  <si>
    <t>https://www.sterlinglp.com</t>
  </si>
  <si>
    <t>450.0</t>
  </si>
  <si>
    <t>1850.45</t>
  </si>
  <si>
    <t>Seeded from CapIQ export. Numeric fields are regex first-pass — crawler will confirm. capiq_description preserved for AI extraction fallback. | [extractor] Explicit investment criteria published on website. Founded 1991, 35+ years active. 47 platform investments, 165+ add-on acquisitions. Focus on middle-market distribution and business services with recession-resistant, secular growth characteristics. Targets market leaders with sustainable competitive advantages, strong management, demonstrated growth, and recurring customer demand. Equity check size range inferred from '$100-450M Equity Per Transaction' language.</t>
  </si>
  <si>
    <t>Stone Point Capital LLC</t>
  </si>
  <si>
    <t>https://www.stonepoint.com</t>
  </si>
  <si>
    <t>Financial Services, Business Services, Real Estate</t>
  </si>
  <si>
    <t>67625.2</t>
  </si>
  <si>
    <t>Seeded from CapIQ export. Numeric fields are regex first-pass — crawler will confirm. capiq_description preserved for AI extraction fallback. | [extractor] Stone Point Capital is a leading financial-services-focused PE firm with 10 funds and 70 sub-sectors across 10 focus sectors. Invests across multiple stages: Buyout, Early Stage, Growth, and Opportunistic. Primary sectors: insurance (distribution, underwriting, services, benefits), asset management, business services, real estate, and financial services. Portfolio companies include Alliant Insurance, Applied Systems, Kroll, Sedgwick, Mitchell, and others. US-focused investments confirmed through portfolio company examples. HQ location not confirmed from provided content.</t>
  </si>
  <si>
    <t>StoneTree Investment Partners LLC</t>
  </si>
  <si>
    <t>https://www.stonetreeinvest.com</t>
  </si>
  <si>
    <t>12.0</t>
  </si>
  <si>
    <t>Seeded from CapIQ export. Numeric fields are regex first-pass — crawler will confirm. capiq_description preserved for AI extraction fallback. | [extractor] Firm founded 2021. HQ: 8333 Douglas Ave, Suite 1260, Dallas, TX 75225. Control investments only in industrial manufacturing. Targets US/Canada headquarters. Minimum 80+ employees. Deal types include corporate divestitures, founder/family-owned, MBOs, lender-owned/controlled, special situations. No fund vintage year or specific fund names disclosed on website.</t>
  </si>
  <si>
    <t>Stonebridge Partners LLC</t>
  </si>
  <si>
    <t>White Plains</t>
  </si>
  <si>
    <t>https://www.stonebridgepartners.com</t>
  </si>
  <si>
    <t>Seeded from CapIQ export. Numeric fields are regex first-pass — crawler will confirm. capiq_description preserved for AI extraction fallback. | [extractor] Stonebridge Partners founded 1986. Invests in niche manufacturing, service, distribution. Control or joint-control transactions. Transaction types include core US companies, majority recaps, carve-outs, MBOs. Over $930M invested in 78 transactions (36 core, 42 add-ons). HQ: 81 Main Street Suite 505, White Plains, NY 10601.</t>
  </si>
  <si>
    <t>Strength Capital Partners LLC</t>
  </si>
  <si>
    <t>https://www.strengthcapital.com</t>
  </si>
  <si>
    <t>technology, software, healthcare, speculative</t>
  </si>
  <si>
    <t>Seeded from CapIQ export. Numeric fields are regex first-pass — crawler will confirm. capiq_description preserved for AI extraction fallback. | [extractor] PE firm focused on industrial consolidation strategy (buy-and-build). Explicit investment criteria: U.S.-based businesses with $4-25M EBITDA in manufacturing, distribution, infrastructure, and industrial services. Explicitly excludes technology, software, healthcare, and minority investments. Portfolio shows active and exited deals across multiple industrial sectors. HQ location not specified on provided pages.</t>
  </si>
  <si>
    <t>Sun Capital Partners, Inc.</t>
  </si>
  <si>
    <t>https://www.suncappart.com</t>
  </si>
  <si>
    <t>Seeded from CapIQ export. Numeric fields are regex first-pass — crawler will confirm. capiq_description preserved for AI extraction fallback. | [extractor] Established 1995. Current portfolio ~40 companies, 540+ companies invested since inception with $50B+ in revenues. HQ: Boca Raton FL with offices in London, NY, LA. AUM $5.9B as of Sept 30, 2025. Primary sectors: Food &amp; Consumer, Industrials &amp; Distribution (automotive, building products, chemicals, packaging), Business Services, Healthcare Services. US and European investments noted. Specific deal size, EBITDA/revenue minimums, and fund details not disclosed on pages reviewed.</t>
  </si>
  <si>
    <t>Sundara Partners, LLC</t>
  </si>
  <si>
    <t>https://www.sundarapartners.com</t>
  </si>
  <si>
    <t>Seeded from CapIQ export. Numeric fields are regex first-pass — crawler will confirm. capiq_description preserved for AI extraction fallback. | [extractor] Sundara Partners founded 2022, focuses on lower-middle-market businesses facing complexity/distress and transitioning owner-operators. Sector-agnostic approach. Must-have: FCF ≥$1M, 5+ year operating history, proven management, differentiated product/service, customer stickiness, barriers to entry. Investment strategy emphasizes operational improvement over leverage, one business at a time. HQ location not stated on website. Check size and fund details not disclosed. Based on team bios and deal examples (Airbrasive, Premier DataCom), focus includes industrial, services, and technology sectors.</t>
  </si>
  <si>
    <t>Sunstone Partners Management, LLC</t>
  </si>
  <si>
    <t>San Mateo</t>
  </si>
  <si>
    <t>https://www.sunstonepartners.com</t>
  </si>
  <si>
    <t>Sunstone Partners I, LP</t>
  </si>
  <si>
    <t>Seeded from CapIQ export. Numeric fields are regex first-pass — crawler will confirm. capiq_description preserved for AI extraction fallback. | [extractor] Firm explicitly states majority and minority investments in technology-enabled services and software. Portfolio page shows focus on Cloud, Cybersecurity, Healthcare IT, Business Services. Three funds total with $1.7B AUM across all funds; SP I has $310M committed capital. Founded 2015, previously TC Growth Partners. Growth criteria: $20M+ revenue, +20% growth, capital efficient history. North America focus with US headquarters. No specific EBITDA or EV thresholds found.</t>
  </si>
  <si>
    <t>Surge Private Equity LLC</t>
  </si>
  <si>
    <t>https://surgepe.com</t>
  </si>
  <si>
    <t>Seeded from CapIQ export. Numeric fields are regex first-pass — crawler will confirm. capiq_description preserved for AI extraction fallback. | [extractor] Portfolio page accessed but contains only HTML/CSS boilerplate and metadata. No investment criteria, deal types, sectors, fund details, or portfolio company information could be extracted. Full page content review needed or access to substantive firm documentation required.</t>
  </si>
  <si>
    <t>Symbiome Capital Partners LLC</t>
  </si>
  <si>
    <t>https://www.symbiomecapital.com</t>
  </si>
  <si>
    <t>Infrastructure, Energy, Technology</t>
  </si>
  <si>
    <t>Seeded from CapIQ export. Numeric fields are regex first-pass — crawler will confirm. capiq_description preserved for AI extraction fallback. | [extractor] Opportunistic infrastructure fund focused on Grid, Digital Infrastructure, and Built Environment. Explicit investment criteria include controlling stake or significant minority, North American HQ/operations, platform for consolidation, buy-and-build strategy. Track record: 20+ transactions, $2B+ managed capital, 12 platforms. HQ confirmed at Bethesda, MD.</t>
  </si>
  <si>
    <t>Symphony Technology Group, LLC</t>
  </si>
  <si>
    <t>https://stg.com</t>
  </si>
  <si>
    <t>Seeded from CapIQ export. Numeric fields are regex first-pass — crawler will confirm. capiq_description preserved for AI extraction fallback. | [extractor] Portfolio page accessed but contains only HTML/CSS/JS framework code with no substantive investment criteria data. Page shows firm name as 'STG Partners, LLC' (registered domain stg.com). No investment criteria, sector focus, deal types, check sizes, AUM, or fund information visible. Requires access to additional pages (e.g., about, investment criteria, fund pages) to extract meaningful data.</t>
  </si>
  <si>
    <t>TA Associates Management, L.P.</t>
  </si>
  <si>
    <t>https://www.ta.com</t>
  </si>
  <si>
    <t>60853.39</t>
  </si>
  <si>
    <t>Seeded from CapIQ export. Numeric fields are regex first-pass — crawler will confirm. capiq_description preserved for AI extraction fallback. | [extractor] Source page (https://www.ta.com/approach) contains only website markup/CSS with no investment criteria data. Page title suggests investment approach content should exist but actual criteria text is not present in provided content. Requires review of actual page content or alternative sources.</t>
  </si>
  <si>
    <t>TAW Ventures</t>
  </si>
  <si>
    <t>https://www.tawventures.com/</t>
  </si>
  <si>
    <t>Seeded from CapIQ export. Numeric fields are regex first-pass — crawler will confirm. capiq_description preserved for AI extraction fallback. | [extractor] TAW Ventures is an early-stage investment vehicle founded in summer 2024 by Jane Lauder (30 years at Estée Lauder). Focuses exclusively on pet wellness, health and longevity brands. Described as family office based on founder background and structure. Deal type inferred as Venture based on language ('support entrepreneurs', 'innovative brands'). No explicit deal size, AUM, or geographic criteria disclosed. HQ location, check size, and investment stage preferences not specified. Needs review: firm_type classification uncertain (could be VC or Fundless Sponsor); minimal financial data available.</t>
  </si>
  <si>
    <t>TCG Capital Management, L.P.</t>
  </si>
  <si>
    <t>https://www.tcg.co</t>
  </si>
  <si>
    <t>Media, Consumer, Technology</t>
  </si>
  <si>
    <t>Seeded from CapIQ export. Numeric fields are regex first-pass — crawler will confirm. capiq_description preserved for AI extraction fallback. | [extractor] TCG Capital Management (The Chernin Group) is a media/entertainment-focused PE firm founded in 2010. Current fund closed 2021 with $1.3B in commitments. Focus on platforms and brands that shape culture, with emphasis on sports, media, content, digital communities, and subscription models. Offices in Los Angeles, San Francisco, and New York. Extensive portfolio of 90+ companies across consumer, media, and technology sectors. Criteria PDF referenced: https://tcg.co/images/pdfs/TCG-Portco-List-12.31.25.pdf</t>
  </si>
  <si>
    <t>TCP Management LLC</t>
  </si>
  <si>
    <t>https://www.terminuscp.com</t>
  </si>
  <si>
    <t>2025-02-01</t>
  </si>
  <si>
    <t>Seeded from CapIQ export. Numeric fields are regex first-pass — crawler will confirm. capiq_description preserved for AI extraction fallback. | [extractor] TCP Management LLC focuses on business software companies. Portfolio shows 30+ investments dating back to 2012, with most recent deal (Ascribe, Feb 2025). Firm identifies as helping 'business software companies become market-leading franchises,' indicating control-oriented buyout strategy. HQ location and specific financial criteria not found on pages provided. Confidence is Medium due to clear sector/deal type but lack of explicit investment criteria details.</t>
  </si>
  <si>
    <t>TDR Capital LLP</t>
  </si>
  <si>
    <t>https://www.tdrcapital.com</t>
  </si>
  <si>
    <t>16039.35</t>
  </si>
  <si>
    <t>Seeded from CapIQ export. Numeric fields are regex first-pass — crawler will confirm. capiq_description preserved for AI extraction fallback. | [extractor] TDR Capital is a London-based PE firm managing European mid-market businesses. Portfolio page confirms UK/Europe focus (not US). Describes approach as partnering with management teams on growth-oriented buyouts. ESG report referenced (2024/2025) at https://www.tdrcapital.com/wp-content/uploads/2025/11/TDR-Capital-ESGSustainability-Report-2025.pdf — not parsed. Limited explicit investment criteria on pages provided; Aggreko portfolio company noted but detailed investment parameters (check size, revenue/EBITDA ranges, fund details) not disclosed. Classified as PE Buyout based on language about 'European mid-market businesses' and 'ownership culture' but growth equity distinction unclear. US investments explicitly false based on European mid-market focus.</t>
  </si>
  <si>
    <t>TJC LP</t>
  </si>
  <si>
    <t>https://www.tjclp.com</t>
  </si>
  <si>
    <t>30780.88</t>
  </si>
  <si>
    <t>Seeded from CapIQ export. Numeric fields are regex first-pass — crawler will confirm. capiq_description preserved for AI extraction fallback. | [extractor] Only landing page content provided. Page states TJC partners with 'profitable companies and exceptional management teams to realize significant opportunities for long-term growth' but contains no specific investment criteria, deal types, sectors, fund details, AUM, geography, or other substantive data. Requires review of additional firm pages (e.g., investments, team, strategy, funds) to extract meaningful criteria.</t>
  </si>
  <si>
    <t>TPG Capital, L.P.</t>
  </si>
  <si>
    <t>https://www.tpg.com</t>
  </si>
  <si>
    <t>Consumer, Business Services, Healthcare</t>
  </si>
  <si>
    <t>269000.0</t>
  </si>
  <si>
    <t>Seeded from CapIQ export. Numeric fields are regex first-pass — crawler will confirm. capiq_description preserved for AI extraction fallback. | [extractor] TPG Capital, L.P. is a PE firm with 30+ year history. Multiple platforms exist (Capital, Growth, Impact, Credit, Real Estate). Source pages confirm Consumer and Business Services sector focus with specific subsector examples. Growth-oriented language in consumer describes control buyouts of established companies (Chobani, Petco, Viking Cruises, Life Time), not Growth Equity minority stakes. US investments confirmed via deal examples. HQ location, specific fund names, vintages, and AUM not found in provided pages.</t>
  </si>
  <si>
    <t>TPG Growth, LLC</t>
  </si>
  <si>
    <t>https://www.tpg.com/platforms/growth/tpg-growth</t>
  </si>
  <si>
    <t>Consumer, Technology, Business Services</t>
  </si>
  <si>
    <t>286000.0</t>
  </si>
  <si>
    <t>TPG Growth</t>
  </si>
  <si>
    <t>Seeded from CapIQ export. Numeric fields are regex first-pass — crawler will confirm. capiq_description preserved for AI extraction fallback. | [extractor] TPG Growth is a growth equity platform within TPG. Portfolio companies mentioned include Beautycounter, Crunch Fitness, e.l.f Cosmetics, ipsy, SmartSweets. Primary sector focus is Consumer with additional exposure to Technology (SET) and Business Services. Company described as 30-year history of investing. Specific financial criteria, AUM, fund vintage, and HQ location not provided on these pages.</t>
  </si>
  <si>
    <t>TR Advisors Ltd</t>
  </si>
  <si>
    <t>https://www.tr-capital.com</t>
  </si>
  <si>
    <t>1200.0</t>
  </si>
  <si>
    <t>TSG Consumer Partners LP</t>
  </si>
  <si>
    <t>Larkspur</t>
  </si>
  <si>
    <t>https://www.tsgconsumer.com</t>
  </si>
  <si>
    <t>14000.0</t>
  </si>
  <si>
    <t>2025-11-13</t>
  </si>
  <si>
    <t>Seeded from CapIQ export. Numeric fields are regex first-pass — crawler will confirm. capiq_description preserved for AI extraction fallback. | [extractor] TSG Consumer Partners is a global PE firm with $14bn AUM and 40-year track record. Explicitly states flexible approach to make minority or majority investments in established consumer brands. Primary sectors: Health &amp; Wellness, Home &amp; Auto, Food &amp; Beverage, Restaurants, Beauty &amp; Personal Care. Recent deal activity through 2025 confirms active status. Multiple office locations: Larkspur (HQ), New York, London, Stamford, Summerlin.</t>
  </si>
  <si>
    <t>Tailwater Capital LLC</t>
  </si>
  <si>
    <t>https://www.tailwatercapital.com</t>
  </si>
  <si>
    <t>Seeded from CapIQ export. Numeric fields are regex first-pass — crawler will confirm. capiq_description preserved for AI extraction fallback. | [extractor] Portfolio page accessed but only schema metadata and CSS markup returned—no actual portfolio company names or investment criteria visible. Inferred Energy/Midstream sector from page keywords and firm name context. HQ location, fund details, check sizes, and financial criteria not confirmed. Page last modified 2025-12-08 suggests active firm. Requires review of main website or additional source pages for investment criteria details.</t>
  </si>
  <si>
    <t>Tailwind Management LP</t>
  </si>
  <si>
    <t>https://www.tailwind.com</t>
  </si>
  <si>
    <t>5410.74</t>
  </si>
  <si>
    <t>Seeded from CapIQ export. Numeric fields are regex first-pass — crawler will confirm. capiq_description preserved for AI extraction fallback. | [extractor] Page content is primarily CSS and schema markup with no substantive investment strategy details. The page title references 'Strategy - Tailwind Capital' but actual strategy content not provided in source material. Note: firm name in schema is 'Tailwind Capital' not 'Tailwind Management LP' — requires verification. No investment criteria, deal types, sectors, check sizes, or fund information could be extracted from this page.</t>
  </si>
  <si>
    <t>Taurus Capital Partners</t>
  </si>
  <si>
    <t>https://www.taurus.com</t>
  </si>
  <si>
    <t>Seeded from CapIQ export. Numeric fields are regex first-pass — crawler will confirm. capiq_description preserved for AI extraction fallback. | [extractor] Taurus Capital Partners appears to be a software company, not a PE/VC firm. Content describes data integration and business intelligence software products (DataBridger, Measures for Distributors, etc.). No investment criteria, fund information, deal history, or typical PE/VC metrics found. This is likely a data management software vendor, not an investment firm. Requires verification that this is the correct entity.</t>
  </si>
  <si>
    <t>Temasek Holdings (Private) Limited</t>
  </si>
  <si>
    <t>https://www.temasek.com.sg/en/index</t>
  </si>
  <si>
    <t>291000.0</t>
  </si>
  <si>
    <t>Seeded from CapIQ export. Numeric fields are regex first-pass — crawler will confirm. capiq_description preserved for AI extraction fallback. | [extractor] Temasek is a state-owned investment company headquartered in Singapore. Classified as Family Office based on holding company/sovereign wealth fund structure. Website shows extensive investment operations with portfolio, financials, and sustainability reporting. However, no specific investment criteria (check sizes, sector focus, deal types, target company financials) are disclosed on the homepage. US investment stance not stated. Detailed investment criteria likely available on linked pages (Investment Approach, Our Portfolio) not provided in source. Additional research needed on fund structure, AUM, and specific investment parameters.</t>
  </si>
  <si>
    <t>Tenex Capital Management, L.P.</t>
  </si>
  <si>
    <t>https://www.tenexcm.com</t>
  </si>
  <si>
    <t>Seeded from CapIQ export. Numeric fields are regex first-pass — crawler will confirm. capiq_description preserved for AI extraction fallback. | [extractor] Explicit criteria: $0-6M EBITDA, majority equity buyouts of family-owned, carveouts, and sponsor-owned businesses. Three primary verticals: Diversified Industrials, Services, and Healthcare. HQ in New York with additional office in Fort Lauderdale. Recent investments as recent as November 2025. Fact sheet PDF available at https://www.tenexcm.com/images/home/TenexTearSheet_Q2-2025.pdf but not parsed. No AUM or fund-specific details found.</t>
  </si>
  <si>
    <t>The Anchor Group</t>
  </si>
  <si>
    <t>https://www.theanchorgroup.com</t>
  </si>
  <si>
    <t>Venture, Buyout</t>
  </si>
  <si>
    <t>Technology, Financial Services, Business Services</t>
  </si>
  <si>
    <t>Seeded from CapIQ export. Numeric fields are regex first-pass — crawler will confirm. capiq_description preserved for AI extraction fallback. | [extractor] The Anchor Group is a venture capital and holding company focused on fintech, regtech, proptech, and AI. They invest in early-stage and growth-stage companies and also acquire/integrate businesses. Leadership has raised $1.5B+ and driven $2.3B+ in exits. Focus on underserved markets including small/micro businesses and gig workers. No HQ city/state provided on page. No specific fund details, AUM, or check size ranges found.</t>
  </si>
  <si>
    <t>The CapStreet Group, LLC</t>
  </si>
  <si>
    <t>https://www.capstreet.com</t>
  </si>
  <si>
    <t>1162.21</t>
  </si>
  <si>
    <t>Seeded from CapIQ export. Numeric fields are regex first-pass — crawler will confirm. capiq_description preserved for AI extraction fallback. | [extractor] Source page is 'Our Companies' portfolio page with only website metadata and CSS/JavaScript code. No investment criteria, fund information, or deal details extracted. Requires access to firm overview, investment criteria, or fund documentation pages to populate fields.</t>
  </si>
  <si>
    <t>The Carlyle Group Inc. (NASDAQGS:CG)</t>
  </si>
  <si>
    <t>https://www.carlyle.com</t>
  </si>
  <si>
    <t>476867.0</t>
  </si>
  <si>
    <t>Seeded from CapIQ export. Numeric fields are regex first-pass — crawler will confirm. capiq_description preserved for AI extraction fallback. | [extractor] Source page is LP Connect login/terms portal with no investment criteria data. Only confirms Carlyle Group Inc. is a PE firm. No deal types, sectors, check sizes, fund details, or AUM disclosed. Headquarters location unconfirmed from this source. Additional research needed from main corporate website or investment materials.</t>
  </si>
  <si>
    <t>The Cynosure Group</t>
  </si>
  <si>
    <t>https://cynosuregroup.com</t>
  </si>
  <si>
    <t>Real Estate, Industrials</t>
  </si>
  <si>
    <t>Seeded from CapIQ export. Numeric fields are regex first-pass — crawler will confirm. capiq_description preserved for AI extraction fallback. | [extractor] Diversified investment firm with six business lines including Cynosure Partners (Private Growth Equity | Private Credit), Cynosure | Checketts Sports Capital (Sports Private Equity), and Cynosure Elevations (Real Estate Private Equity). Founded 2013 to manage Eccles Family portfolio and other long-term investors. SEC-registered investment adviser. HQ in Salt Lake City with NYC office. Deal types inferred from business line descriptions; check size and AUM not disclosed on website. Form ADV available at www.adviserinfo.sec.gov. Confidence medium due to limited explicit investment criteria on public site.</t>
  </si>
  <si>
    <t>The Heico Companies LLC</t>
  </si>
  <si>
    <t>https://www.heicocompanies.com</t>
  </si>
  <si>
    <t>Seeded from CapIQ export. Numeric fields are regex first-pass — crawler will confirm. capiq_description preserved for AI extraction fallback. | [extractor] Portfolio page shows Heico is a multi-group PE platform with Applied Solutions Group, Industrial Technologies Group, Construction Solutions Group, and Metal Processing Group. Global presence across multiple continents (Africa, Asia, Europe, North America, Oceania, South America). Firm type inferred as PE based on portfolio structure and group organization. Specific investment criteria, fund details, and financial metrics not found on this portfolio page. Needs review of investment criteria page and company overview for detailed metrics.</t>
  </si>
  <si>
    <t>The Hoffmann Family of Companies</t>
  </si>
  <si>
    <t>https://hoffmannfamilyofcompanies.com</t>
  </si>
  <si>
    <t>Media, Industrials, Generalist</t>
  </si>
  <si>
    <t>Seeded from CapIQ export. Numeric fields are regex first-pass — crawler will confirm. capiq_description preserved for AI extraction fallback. | [extractor] Multi-vertical family office founded by Jerri and David Hoffmann. Operates 200+ acquired brands globally across 8 sectors with 27,000+ employees in 400+ locations across 30 countries. Long-term value creation focus. Recent Forbes coverage (2026) on newspaper/local journalism investments. Specific investment criteria (check size, revenue/EBITDA targets) not disclosed on homepage.</t>
  </si>
  <si>
    <t>The Riverside Company</t>
  </si>
  <si>
    <t>https://www.riversidecompany.com</t>
  </si>
  <si>
    <t>13530.14</t>
  </si>
  <si>
    <t>Seeded from CapIQ export. Numeric fields are regex first-pass — crawler will confirm. capiq_description preserved for AI extraction fallback. | [extractor] Riverside operates five PE control products (Buyout via buy-and-build) and two non-control products (Growth Equity). Control products: Capital Appreciation ($10-35M EBITDA, North America), Micro-Cap (&lt;$10M EBITDA, North America), Europe (&lt;€30M EBITDA), Australia (A$3-20M EBITDA), Value ($75M+ revenue, special situations). Non-control: Strategic Capital ($5M+ EBITDA, minority, US/Canada/Europe), Acceleration Capital ($3-15M recurring revenue, software, growth, US/Canada/Europe). Enterprise value range $1M-$400M+. HQ location not confirmed in provided content. Multiple fund products suggest active firm. Confidence Medium due to lack of AUM, specific fund vintages, and HQ location data.</t>
  </si>
  <si>
    <t>The Sterling Group, L.P.</t>
  </si>
  <si>
    <t>https://www.sterling-group.com</t>
  </si>
  <si>
    <t>9014.02</t>
  </si>
  <si>
    <t>Seeded from CapIQ export. Numeric fields are regex first-pass — crawler will confirm. capiq_description preserved for AI extraction fallback. | [extractor] Source page is a directory listing with no investment criteria data. Unable to extract firm information. Requires review of actual firm website content.</t>
  </si>
  <si>
    <t>The Vistria Group, LP</t>
  </si>
  <si>
    <t>https://www.vistria.com</t>
  </si>
  <si>
    <t>Healthcare, Business Services, Technology</t>
  </si>
  <si>
    <t>2026-03-26</t>
  </si>
  <si>
    <t>Seeded from CapIQ export. Numeric fields are regex first-pass — crawler will confirm. capiq_description preserved for AI extraction fallback. | [extractor] Portfolio page shows 50+ healthcare, knowledge &amp; learning solutions, and financial services investments with recent activity dates through 2026. Firm explicitly states 'track record of success in healthcare, knowledge &amp; learning solutions, and financial services for over a decade.' All US-based portfolio companies. HQ location, fund details, check sizes, and financial criteria not disclosed on portfolio page. Firm type inferred as PE based on control buyout approach and portfolio composition. Confidence medium due to limited explicit investment criteria data; needs review to confirm HQ location and specific fund structure.</t>
  </si>
  <si>
    <t>Theatre Capital LLC</t>
  </si>
  <si>
    <t>https://theatrecap.com</t>
  </si>
  <si>
    <t>Buyout, Minority, Recap</t>
  </si>
  <si>
    <t>2025-01-15</t>
  </si>
  <si>
    <t>Seeded from CapIQ export. Numeric fields are regex first-pass — crawler will confirm. capiq_description preserved for AI extraction fallback. | [extractor] Theatre Capital is a control-oriented PE firm focusing on recurring revenue tech companies. Investment criteria explicitly states 'Typically control with select minority and credit investments' and deal situations include majority recaps, divestitures, and special situations. Portfolio shows active investment activity through 2025-2026. 20+ year operating history. Profitability requirement is breakeven+. Company growth minimum 5% organic or inorganic. Most portfolio companies are US-based; one Canadian company (dominKnow). No fund details, AUM, or vintage year available on website.</t>
  </si>
  <si>
    <t>Third Century Management, LLC</t>
  </si>
  <si>
    <t>https://www.thirdcentury.com</t>
  </si>
  <si>
    <t>Business Services, Industrials, Healthcare</t>
  </si>
  <si>
    <t>Seeded from CapIQ export. Numeric fields are regex first-pass — crawler will confirm. capiq_description preserved for AI extraction fallback. | [extractor] Third Century Management is a PE firm focused on founder-led and family-owned businesses. Target EBITDA: $3M-$10M. Geographic focus: US &amp; Canada. Deal types include management buyouts, corporate divestitures, recaps, and new platforms. Coverage areas: Business Services, Specialized Services (IT, Healthcare, Financial), Distribution &amp; Logistics, Light Manufacturing, Industrial &amp; Consumer Products. Control or shared control ownership required. Up to 3 commitments annually. Invests alongside management teams, search funds, and sponsors. Recent active investments in healthcare (Mobile RN) and energy (Yukon).</t>
  </si>
  <si>
    <t>Thoma Bravo, L.P.</t>
  </si>
  <si>
    <t>https://www.thomabravo.com</t>
  </si>
  <si>
    <t>182937.3</t>
  </si>
  <si>
    <t>Seeded from CapIQ export. Numeric fields are regex first-pass — crawler will confirm. capiq_description preserved for AI extraction fallback. | [extractor] Portfolio page shows extensive software/tech investments across Applications, Cybersecurity, and Infrastructure sectors. Firm describes collaborative buyout approach with focus on product innovation and operational excellence. HQ location and specific fund details not available on this page. Multiple portfolio companies across US and international locations confirmed.</t>
  </si>
  <si>
    <t>Thomas H. Lee Partners, L.P.</t>
  </si>
  <si>
    <t>https://thl.com</t>
  </si>
  <si>
    <t>12600.0</t>
  </si>
  <si>
    <t>Seeded from CapIQ export. Numeric fields are regex first-pass — crawler will confirm. capiq_description preserved for AI extraction fallback. | [extractor] Page source contains only generic website metadata and CSS/JavaScript code. No investment criteria, fund information, deal types, sectors, check sizes, AUM, or other substantive investment data found. The approach page URL exists but substantive content was not captured in the provided source material.</t>
  </si>
  <si>
    <t>Thompson Street Capital Manager LLC</t>
  </si>
  <si>
    <t>https://www.tscp.com</t>
  </si>
  <si>
    <t>Seeded from CapIQ export. Numeric fields are regex first-pass — crawler will confirm. capiq_description preserved for AI extraction fallback. | [extractor] Firm name Thompson Street Capital Partners confirmed from page title and schema markup. Page URL is investment strategy page, but actual content was not provided—only HTML boilerplate, scripts, and CSS. No investment criteria, deal types, sectors, check sizes, AUM, or geographic focus could be extracted. Requires full page content review.</t>
  </si>
  <si>
    <t>Thrive Capital Management, LLC</t>
  </si>
  <si>
    <t>https://www.thrivecap.com</t>
  </si>
  <si>
    <t>Seeded from CapIQ export. Numeric fields are regex first-pass — crawler will confirm. capiq_description preserved for AI extraction fallback. | [extractor] Only basic mission statement available: 'builds and invests in internet, software, and technology-enabled companies.' No specifics on check sizes, fund details, AUM, or investment criteria. Headquarters location not confirmed. Significant data gaps warrant review before use.</t>
  </si>
  <si>
    <t>Tico Capital Partners</t>
  </si>
  <si>
    <t>https://www.ticopartners.com</t>
  </si>
  <si>
    <t>Buyout, Recap, Minority</t>
  </si>
  <si>
    <t>Seeded from CapIQ export. Numeric fields are regex first-pass — crawler will confirm. capiq_description preserved for AI extraction fallback. | [extractor] PE firm based in Atlanta, GA focused on lower middle-market Southeast companies. Investment criteria explicitly stated: revenue $10-100MM, EBITDA $1-10MM. Deal types include buyouts, management buyouts, family successions, recaps, carve-outs, and minority investments. Sectors: manufacturing, distribution, software, services, automotive. AUM noted as $250M+ invested capital across 10+ industries. Fact sheet PDF available at https://ticopartners.com/wp-content/uploads/2025/06/Tico-Capital-Partners-Fact-Sheet_vF-2.pdf but not parsed.</t>
  </si>
  <si>
    <t>Tide Rock, LLC</t>
  </si>
  <si>
    <t>Solana Beach</t>
  </si>
  <si>
    <t>https://www.tiderock.com</t>
  </si>
  <si>
    <t>Seeded from CapIQ export. Numeric fields are regex first-pass — crawler will confirm. capiq_description preserved for AI extraction fallback. | [extractor] Tide Rock is an unlevered buyout firm targeting B2B companies with EBITDA up to $20M. Focus: manufacturing, B2B services, and value-added distribution in essential industries. Key criteria: strong free cash flow, recurring revenues, long-term customer relationships, high quality products. Portfolio page accessed but company names not extracted from truncated HTML.</t>
  </si>
  <si>
    <t>Tilia Holdings, LLC</t>
  </si>
  <si>
    <t>https://www.tiliallc.com</t>
  </si>
  <si>
    <t>311.86</t>
  </si>
  <si>
    <t>Seeded from CapIQ export. Numeric fields are regex first-pass — crawler will confirm. capiq_description preserved for AI extraction fallback. | [extractor] Tilia Holdings is a Chicago-based private investment firm focused exclusively on middle market service companies across the food supply chain. Portfolio includes food testing, contract manufacturing, cold chain logistics, ingredients, bakery, and food safety inspection businesses. No explicit financial criteria (revenue, EBITDA, check size, EV) disclosed on the website. Deal types inferred from middle market buyout/growth equity context. North American focus inferred from portfolio descriptions.</t>
  </si>
  <si>
    <t>TorQuest Partners, Inc.</t>
  </si>
  <si>
    <t>https://www.torquest.com</t>
  </si>
  <si>
    <t>Seeded from CapIQ export. Numeric fields are regex first-pass — crawler will confirm. capiq_description preserved for AI extraction fallback. | [extractor] Canadian PE firm founded 2002, focuses on middle market buyouts, recaps, MBOs, and entrepreneur/family succession. 62 platform + 117 add-on acquisitions to date. Recent investment: Trailcon (2022, transportation/logistics). Investment categories shown: Business Services, Chemicals &amp; Ingredients, Consumer Products &amp; Services, Financial Institutions and Services, Industrial Products &amp; Services, Transportation/Logistics/Infrastructure. Multiple funds (I-VI plus Harrowston). HQ location and specific fund details not explicitly stated on pages provided.</t>
  </si>
  <si>
    <t>Torque Capital Group LLC</t>
  </si>
  <si>
    <t>https://www.torquecap.com</t>
  </si>
  <si>
    <t>Seeded from CapIQ export. Numeric fields are regex first-pass — crawler will confirm. capiq_description preserved for AI extraction fallback. | [extractor] Explicit investment criteria found on website. Targets middle-market companies &lt;$35M EBITDA with control equity investments up to $100M per transaction. Focus on Manufacturing, Enthusiast/Niche Branded Products, and Supply Chain Services. Transaction types include family/entrepreneur owned businesses and corporate carve-outs. Portfolio includes BPI (brakes), J-PAC (medical device manufacturing), R1 Concepts (automotive braking). PDF firm profile available at https://torquecap.com/wp-content/uploads/2021/10/Torque-Capital-Firm-Summary.pdf — not parsed. HQ location not explicitly stated on pages provided.</t>
  </si>
  <si>
    <t>Tower Arch Capital, L.P.</t>
  </si>
  <si>
    <t>Draper</t>
  </si>
  <si>
    <t>https://towerarch.com</t>
  </si>
  <si>
    <t>2118.11</t>
  </si>
  <si>
    <t>Seeded from CapIQ export. Numeric fields are regex first-pass — crawler will confirm. capiq_description preserved for AI extraction fallback. | [extractor] Explicit investment criteria found on criteria page. Control buyouts and recaps of North American companies with EBITDA $5M-$30M and check sizes $30M-$75M per platform. 18+ current portfolio companies and prior exits demonstrate active deal flow. One-page summary PDF available at https://towerarch.com/s/Q4-2025_Tower-Arch-Capital-Firm-Overview.pdf (not parsed). No fund-specific information, AUM, or vintage year disclosed.</t>
  </si>
  <si>
    <t>Town Lane Management LP</t>
  </si>
  <si>
    <t>https://www.townlane.com</t>
  </si>
  <si>
    <t>1384.95</t>
  </si>
  <si>
    <t>Seeded from CapIQ export. Numeric fields are regex first-pass — crawler will confirm. capiq_description preserved for AI extraction fallback. | [extractor] Real estate investment manager founded by Tyler Henritze (19-year Blackstone veteran who oversaw $88B equity deployment) and Parker Morse (11 years at Sycamore Partners). Offices in New York (200 Park Ave, Suite 803) and Atlanta (1170 Peachtree St NE). Currently prioritizing four themes: Senior Housing, Digital Infrastructure, Office, and Logistics. Flexible mandate across sectors and capital stack with focus on US investments. No specific fund vintage, AUM, check sizes, or recent deal dates provided.</t>
  </si>
  <si>
    <t>Transom Capital Group, LLC</t>
  </si>
  <si>
    <t>https://www.transomcap.com</t>
  </si>
  <si>
    <t>Seeded from CapIQ export. Numeric fields are regex first-pass — crawler will confirm. capiq_description preserved for AI extraction fallback. | [extractor] Portfolio page accessed but contains only CSS/metadata with no substantive investment criteria, holdings, or fund information. Page appears to be a template or improperly indexed. No extractable data on firm type, geography, check sizes, sectors, or deal strategy. Recommend reviewing main website pages or requesting investor materials directly.</t>
  </si>
  <si>
    <t>Trinity Capital Inc. (NASDAQGS:TRIN)</t>
  </si>
  <si>
    <t>Phoenix</t>
  </si>
  <si>
    <t>https://www.trinitycapital.com</t>
  </si>
  <si>
    <t>Seeded from CapIQ export. Numeric fields are regex first-pass — crawler will confirm. capiq_description preserved for AI extraction fallback. | [extractor] Trinity Capital Inc. is a public BDC (Business Development Company, NASDAQ: TRIN) that operates as a lender rather than traditional PE/VC. Primary business lines include Tech Lending, Equipment Financing, Healthcare &amp; Life Sciences, Sponsor Finance, and Asset Based Lending. Portfolio page shows diverse sector exposure (Adtech, Aviation, Fintech, Insurtech, Life Sciences, Semiconductors, Software, etc.). Firm type classified as 'Other' due to BDC/lender model, not traditional PE/VC. No explicit investment criteria (check sizes, revenue/EBITDA minimums, deal types) disclosed on provided pages. No fund information, vintage year, or AUM figures found. Headquarters confirmed at 1 N 1st Street, Suite 302, Phoenix, AZ 85004. Needs review due to misalignment between BDC lending model and PE/VC database structure.</t>
  </si>
  <si>
    <t>Trinity Hunt Partners, L.P.</t>
  </si>
  <si>
    <t>https://www.trinityhunt.com</t>
  </si>
  <si>
    <t>2500.0</t>
  </si>
  <si>
    <t>Seeded from CapIQ export. Numeric fields are regex first-pass — crawler will confirm. capiq_description preserved for AI extraction fallback. | [extractor] Trinity Hunt Partners is a PE firm with 22+ years of history. Investment criteria explicitly stated: $10M+ revenue, $2M+ EBITDA, $15-70M equity hold size. Deal types include buy-and-builds, new executive-led platforms, and recapitalizations. Sectors: Business Services and Consumer Services. Fund VII appears to be current vehicle (~$2.5B AUM estimated from graph). Portfolio includes 190+ add-on acquisitions. No specific check size minimums/maximums provided. HQ: 1717 McKinney, Suite 1900, Dallas, TX 75202.</t>
  </si>
  <si>
    <t>Triple Private Equity Ltd</t>
  </si>
  <si>
    <t>https://www.triple.pe</t>
  </si>
  <si>
    <t>Seeded from CapIQ export. Numeric fields are regex first-pass — crawler will confirm. capiq_description preserved for AI extraction fallback. | [extractor] Firm identified as Triple Private Equity Ltd (PE). Source is strategy page HTML with minimal substantive content extracted. Portfolio companies visible in navigation (SmartSearch, Legal Benchmarking Group, Cerivo, Euromoney &amp; Extel, Derivia Intelligence) suggest active investing. Deal sourcing strategy mentioned ('pro-active off-market deal sourcing') but specific investment criteria (sectors, sizes, geographies, check sizes) not determinable from provided content. Confidence is Low due to incomplete data extraction from website markup. Requires review of full strategy page content and additional firm documentation for comprehensive criteria.</t>
  </si>
  <si>
    <t>Trive Capital Management LLC</t>
  </si>
  <si>
    <t>https://www.trivecapital.com</t>
  </si>
  <si>
    <t>8002.09</t>
  </si>
  <si>
    <t>Seeded from CapIQ export. Numeric fields are regex first-pass — crawler will confirm. capiq_description preserved for AI extraction fallback. | [extractor] Multi-strategy PE firm with three core strategies: Control Buyout ($40M–$1.5B revenue, $10–$250M equity/debt), Structured Capital (non-control debt/equity, $10–$250M), and Small Cap (&lt;$10M checks). North American headquarters. Broad industrial and business services focus. Portfolio companies visible and active. Three PDFs available but not parsed: Firm Overview, Structured Capital Overview, Add-On Criteria.</t>
  </si>
  <si>
    <t>Trivest Partners, L.P.</t>
  </si>
  <si>
    <t>https://www.trivest.com</t>
  </si>
  <si>
    <t>6100.0</t>
  </si>
  <si>
    <t>Seeded from CapIQ export. Numeric fields are regex first-pass — crawler will confirm. capiq_description preserved for AI extraction fallback. | [extractor] Page source is primarily JavaScript/tracking code with minimal actual content. Firm name confirmed as 'Trivest Partners' from schema.org data. Tagline 'Private Equity for Founders' suggests PE focus but no investment criteria, fund details, geography, sector focus, deal types, or check sizes found. Page requires full rendering to extract substantive content. Needs complete page review.</t>
  </si>
  <si>
    <t>TruArc Partners, LP</t>
  </si>
  <si>
    <t>https://www.truarcpartners.com</t>
  </si>
  <si>
    <t>Seeded from CapIQ export. Numeric fields are regex first-pass — crawler will confirm. capiq_description preserved for AI extraction fallback. | [extractor] Middle-market PE firm targeting specialty manufacturing and business services. Investment criteria clearly stated: $10-50mm EBITDA, $100-500mm EV, $50-150mm equity investments. Strategy emphasizes organic and acquisition-led growth. HQ location not provided on page. No fund vintage or AUM data found.</t>
  </si>
  <si>
    <t>Truelink Capital Management, LLC</t>
  </si>
  <si>
    <t>https://www.truelinkcap.com</t>
  </si>
  <si>
    <t>4197.67</t>
  </si>
  <si>
    <t>Seeded from CapIQ export. Numeric fields are regex first-pass — crawler will confirm. capiq_description preserved for AI extraction fallback. | [extractor] Firm explicitly states middle-market focus with EBITDA range of $20M–$100M+ (one page also references $20M–$75M, creating minor ambiguity). Core sectors are Business Services and Industrials with some Technology exposure. Partners with management teams, corporate sellers, and founders; buy-and-build strategy evident from multiple add-ons. Portfolio includes one Canadian company (Flipp, Toronto) so us_investments set to 'primarily'. No AUM, fund name, check size, or vintage year disclosed. EBITDA max set to 100.0 as the more prominent figure cited; the $75M figure may be an outdated or draft version of the page. needs_review flagged due to conflicting EBITDA max figures on site ($75M vs $100M+).</t>
  </si>
  <si>
    <t>Turnspire Capital Partners LLC</t>
  </si>
  <si>
    <t>https://www.turnspirecap.com</t>
  </si>
  <si>
    <t>508.93</t>
  </si>
  <si>
    <t>Seeded from CapIQ export. Numeric fields are regex first-pass — crawler will confirm. capiq_description preserved for AI extraction fallback. | [extractor] Turnspire Capital Partners focuses on control acquisitions (buyouts) of manufacturing and industrial businesses with turnaround/restructuring focus. Platform revenue target $75-400M. EBITDA can be positive or negative. Geographic focus: North American nexus with flexibility for international operations. Deal types include corporate divestitures, bankruptcies, out-of-court restructurings, and operational turnarounds. Headquarters location not found on provided pages.</t>
  </si>
  <si>
    <t>Two Roads Partners Management, LP</t>
  </si>
  <si>
    <t>https://www.tworoads.com</t>
  </si>
  <si>
    <t>TRP Fund 1</t>
  </si>
  <si>
    <t>Seeded from CapIQ export. Numeric fields are regex first-pass — crawler will confirm. capiq_description preserved for AI extraction fallback. | [extractor] PE firm focused on control buyouts (51%+ required) of essential/mission-critical industries in USA. Net income cap up to $15M. Strong interest in fragmented markets, route-based repair &amp; maintenance, specialty distribution, and manufacturing. 50+ completed partnerships, 11 platforms created. No HQ location specified on website. Flexible structure with seller rollover encouraged.</t>
  </si>
  <si>
    <t>Union Park Capital Management, L.P.</t>
  </si>
  <si>
    <t>https://www.union-park.com</t>
  </si>
  <si>
    <t>928.48</t>
  </si>
  <si>
    <t>Seeded from CapIQ export. Numeric fields are regex first-pass — crawler will confirm. capiq_description preserved for AI extraction fallback. | [extractor] Source page contains only HTML/CSS boilerplate and navigation structure. No substantive investment criteria, fund information, or portfolio data found. Page header indicates sections for 'Investments' and 'Sectors' exist but actual content was not provided. Unable to extract any confirmed criteria.</t>
  </si>
  <si>
    <t>Unity Partners, LP</t>
  </si>
  <si>
    <t>https://www.unitypartnerslp.com</t>
  </si>
  <si>
    <t>Business Services, Consumer, Financial Services</t>
  </si>
  <si>
    <t>366.98</t>
  </si>
  <si>
    <t>Seeded from CapIQ export. Numeric fields are regex first-pass — crawler will confirm. capiq_description preserved for AI extraction fallback. | [extractor] Unity Partners LP is a PE firm focused on platform building via buy-and-build strategy in fragmented, recurring-need service markets. Thematic focus areas include Finance/Tax/Accounting, Insurance Services, Legal Services, Managed Professional Services, Pool Services, Tree/Lawn/Pest Care, and Plumbing/HVAC/Electrical. They emphasize people+technology businesses with recurring or essential demand. Portfolio companies include Ampleo (June 2025), Byng (July 2025), Katsam, Poolie, Prosperity Partners, Tropolis, and Yardmaster. HQ city/state not confirmed from source pages. No explicit revenue, EBITDA, EV, or check size ranges disclosed. Deal type inferred as Buyout/Growth Equity from platform-building language. Last known deal date inferred from most recent portfolio entry (Byng, July 2025).</t>
  </si>
  <si>
    <t>Valsoft Corporation Inc.</t>
  </si>
  <si>
    <t>QC</t>
  </si>
  <si>
    <t>https://www.valsoftcorp.com</t>
  </si>
  <si>
    <t>Seeded from CapIQ export. Numeric fields are regex first-pass — crawler will confirm. capiq_description preserved for AI extraction fallback. | [extractor] Valsoft is a PE buyer focused on acquiring and growing vertical market software companies (SaaS). Based in Montreal with offices in Toronto. Portfolio includes 8+ companies across sectors like venue management, childcare software, retail ERP, AMS, etc. Brochures available (English/French) at framerusercontent URLs but not parsed for detailed criteria. No explicit revenue/EBITDA targets, fund AUM, or check size information found. US investments confirmed via portfolio presence. Activity appears active based on portfolio companies and website maintenance.</t>
  </si>
  <si>
    <t>Vance Street Management LLC</t>
  </si>
  <si>
    <t>https://vancestreetcapital.com</t>
  </si>
  <si>
    <t>Seeded from CapIQ export. Numeric fields are regex first-pass — crawler will confirm. capiq_description preserved for AI extraction fallback. | [extractor] Vance Street Capital is a PE firm focused on Medical Technology, Industrial Technology, Life Science, and Aerospace &amp; Defense sectors. Invests in entrepreneur-owned businesses with EBITDA $3M-$30M and EV $30M-$350M. Typical deals include recaps, management buyouts, corporate carve-outs, and add-on acquisitions. Invests in U.S. and Canada for primary investments; strategic add-ons anywhere. Multiple portfolio companies across fund vintages indicate active deployment. HQ city/state not explicitly stated in provided pages.</t>
  </si>
  <si>
    <t>Veranorth Capital Management, LLC</t>
  </si>
  <si>
    <t>https://www.veranorth.com</t>
  </si>
  <si>
    <t>VeraNorth Healthcare Private Equity Fund, L.P.</t>
  </si>
  <si>
    <t>Seeded from CapIQ export. Numeric fields are regex first-pass — crawler will confirm. capiq_description preserved for AI extraction fallback. | [extractor] Control-oriented PE firm focused on healthcare services and staffing. Founded 2017. Employs hybrid approach blending growth equity and traditional buyout strategies, but primary focus is majority stake acquisitions (control). Target: founder-led, scalable healthcare businesses. Known deal: RN Express (2025). Headquarters: 700 Louisiana Street, Suite 3950, Houston, TX 77002. Also operates investment management strategies in public markets (long/short equity). No specific fund vintage year, AUM, or check size ranges disclosed.</t>
  </si>
  <si>
    <t>Verde Equity Partners LP</t>
  </si>
  <si>
    <t>https://www.verdecompanies.com</t>
  </si>
  <si>
    <t>2025-01-01</t>
  </si>
  <si>
    <t>Verde Equity Partners, Fund I</t>
  </si>
  <si>
    <t>Seeded from CapIQ export. Numeric fields are regex first-pass — crawler will confirm. capiq_description preserved for AI extraction fallback. | [extractor] Middle-market PE firm focused on roll-up strategy in lower-middle market. Minimum EBITDA $2M on first close, 8% minimum margins, US-based with Western US preference. Target MOIC 2.5x+. 3-4 year investment cycles. 6 acquisitions completed in 15 months as of Jan 2025. Primary focus on commercial landscaping and property services sector to date. Preference for recurring revenue and consolidation opportunities. Actively deploying capital with strong deal flow.</t>
  </si>
  <si>
    <t>Veritas Capital Fund Management, L.L.C</t>
  </si>
  <si>
    <t>https://www.veritascapital.com</t>
  </si>
  <si>
    <t>53780.61</t>
  </si>
  <si>
    <t>Seeded from CapIQ export. Numeric fields are regex first-pass — crawler will confirm. capiq_description preserved for AI extraction fallback. | [extractor] Source page is portfolio page with minimal extractable data—only firm name confirmed from schema. No investment criteria, deal types, sectors, fund details, or financial thresholds visible. Firm type inferred as PE based on naming convention. Requires review of main website or additional sources for investment criteria.</t>
  </si>
  <si>
    <t>Victor Capital Partners LLC</t>
  </si>
  <si>
    <t>https://www.victorcapitalpartners.com</t>
  </si>
  <si>
    <t>Seeded from CapIQ export. Numeric fields are regex first-pass — crawler will confirm. capiq_description preserved for AI extraction fallback. | [extractor] PE firm with offices in New York, Boca Raton, and Baltimore. Portfolio shows control investments in diversified sectors (consumer, industrials, business services). Investments appear to be in established, profitable businesses with growth potential. Fact sheet reference found but not parsed: https://www.victorcapitalpartners.com/wp-content/uploads/2026/03/VCP-Fact-Sheet-March-26.pdf. No explicit fund details, AUM, check size, or financial criteria found on pages provided. Multiple offices suggest US focus; needs_review=true due to lack of explicit investment criteria data.</t>
  </si>
  <si>
    <t>Vista Equity Partners Management, LLC</t>
  </si>
  <si>
    <t>https://www.vistaequitypartners.com</t>
  </si>
  <si>
    <t>Seeded from CapIQ export. Numeric fields are regex first-pass — crawler will confirm. capiq_description preserved for AI extraction fallback. | [extractor] Page content is primarily CSS and HTML boilerplate with minimal substantive information. Title references 'Enterprise Software Private Equity and Private Credit' confirming PE firm focus on software. Headquarters location, fund details, investment criteria, and deal types not extractable from provided content. Full about page review needed.</t>
  </si>
  <si>
    <t>Vitruvian Partners LLP</t>
  </si>
  <si>
    <t>https://www.vitruvianpartners.com</t>
  </si>
  <si>
    <t>24400.0</t>
  </si>
  <si>
    <t>Seeded from CapIQ export. Numeric fields are regex first-pass — crawler will confirm. capiq_description preserved for AI extraction fallback. | [extractor] Founded 2006. HQ: London (105 Wigmore Street). 10 global offices. €20bn AUM (≈$24.4bn). 90+ investments made. Invests €40m-€600m in companies valued €75m-€4bn+. Deal types: Growth Buyouts (majority &amp; minority), Growth Capital, Public &amp; public-to-private transactions. Sector filters available: Consumer, Technology &amp; Internet, Data &amp; Business Services, Financial Services, Life Sciences &amp; Healthcare, Software, Sustainability Technology, Infrastructure &amp; Communications. Geographic reach: EMEA, Americas, APAC. PRI signatory since 2017. All figures in EUR converted to USD at standard rates.</t>
  </si>
  <si>
    <t>Vrm Penzini Capital L.L.C.</t>
  </si>
  <si>
    <t>Coral Gables</t>
  </si>
  <si>
    <t>https://www.vrmpenzini.com</t>
  </si>
  <si>
    <t>Financial Services, Energy, Media</t>
  </si>
  <si>
    <t>269.22</t>
  </si>
  <si>
    <t>Seeded from CapIQ export. Numeric fields are regex first-pass — crawler will confirm. capiq_description preserved for AI extraction fallback. | [extractor] Operator-led PE firm anchored in Puerto Rico with secondary office in Coral Gables, FL. Invests with own capital and long-term partners (not a traditional fund). $300M capital deployed to date. 12 active portfolio companies across Financial Services, Energy, Media, and Consumer &amp; Spirits. Geographic focus: Puerto Rico, Caribbean, Florida, and Hispanic-facing platforms across Americas. Hands-on governance, concentrated conviction, long-duration holding periods. No fund vintage or AUM data available.</t>
  </si>
  <si>
    <t>Warburg Pincus LLC</t>
  </si>
  <si>
    <t>https://www.warburgpincus.com</t>
  </si>
  <si>
    <t>Seeded from CapIQ export. Numeric fields are regex first-pass — crawler will confirm. capiq_description preserved for AI extraction fallback. | [extractor] Page contains only site structure, metadata, and CSS. No investment criteria, deal types, sectors, fund information, or investment data visible. Actual investments page content not provided in source material.</t>
  </si>
  <si>
    <t>Wareing &amp; Company</t>
  </si>
  <si>
    <t>https://www.wareing.com</t>
  </si>
  <si>
    <t>Seeded from CapIQ export. Numeric fields are regex first-pass — crawler will confirm. capiq_description preserved for AI extraction fallback. | [extractor] Family office with perpetual/evergreen capital base. Primarily majority investments (control) in founder/family-owned businesses. Transaction types include family/founder liquidity, management buyouts, recaps, and growth capital. Conservative capital structures with modest to no leverage. Representative sectors: Industrial &amp; Environmental Services, Building Products, Infrastructure &amp; Power, Niche Manufacturing, Facility &amp; Commercial Services, Outsourced Business Services, Value-Add Distribution, Specialty Rental. 25+ year track record since 1996. Firm Overview PDF available: https://wareing.com/pdf/Wareing%20%26%20Co%20-%20Two%20Pager-2292026.pdf</t>
  </si>
  <si>
    <t>Warren Equity Partners, LLC</t>
  </si>
  <si>
    <t>https://www.warrenequity.com</t>
  </si>
  <si>
    <t>Seeded from CapIQ export. Numeric fields are regex first-pass — crawler will confirm. capiq_description preserved for AI extraction fallback. | [extractor] Source page is a portfolio archive page containing only schema markup and CSS. No substantive investment criteria, portfolio company details, fund information, or business details found. Website structure exists (warrenequity.com) but page content not provided. Requires review of additional pages such as investment criteria, about, or fund information sections.</t>
  </si>
  <si>
    <t>Watchtower Capital Partners</t>
  </si>
  <si>
    <t>https://www.watchtowercp.com</t>
  </si>
  <si>
    <t>Facility Services, Professional Services, Environmental Services, Infrastructure Services, Industrial Services, Testing Inspection Certification, Outsourced Logistics, Residential Services, Niche Consumer Services, Health Wellness, Animal Health, Value-Added Distribution, Specialty Products, Tools Components, Industrial Equipment</t>
  </si>
  <si>
    <t>Seeded from CapIQ export. Numeric fields are regex first-pass — crawler will confirm. capiq_description preserved for AI extraction fallback. | [extractor] Explicit investment criteria found on dedicated criteria page. Firm focuses on controlling stake acquisitions (Buyout) in commercial services, consumer services, and B2B products sectors. US-only platform investments. Check size $10M-$100M over life of platform. Target companies: &lt;$100M revenue, &lt;$10M EBITDA, &lt;$150M enterprise value. Family/founder-owned preferred. HQ location not specified on provided pages. Portfolio shows 11 active investments. Senior team has 45+ years PE experience and $2B invested across 70+ transactions.</t>
  </si>
  <si>
    <t>Water Street Healthcare Partners, LLC</t>
  </si>
  <si>
    <t>https://www.waterstreet.com</t>
  </si>
  <si>
    <t>Healthcare Services, Medical Products &amp; Diagnostics, Pharmaceutical &amp; Life Sciences</t>
  </si>
  <si>
    <t>7490.47</t>
  </si>
  <si>
    <t>Seeded from CapIQ export. Numeric fields are regex first-pass — crawler will confirm. capiq_description preserved for AI extraction fallback. | [extractor] PE firm founded 2005, focused exclusively on healthcare sector across three subsegments: Healthcare Services, Medical Products &amp; Diagnostics, and Pharmaceutical &amp; Life Sciences. 180+ investments and 48+ healthcare companies built since founding. Control acquisitions and buy-and-build approach. Latest confirmed deal: Brundage Group (2026). Website shows placeholder values ($0.0B AUM, 0 current companies) suggesting data refresh needed. HQ location not explicitly stated on provided pages.</t>
  </si>
  <si>
    <t>Weinberg Capital Group</t>
  </si>
  <si>
    <t>https://www.weinbergcap.com</t>
  </si>
  <si>
    <t>Seeded from CapIQ export. Numeric fields are regex first-pass — crawler will confirm. capiq_description preserved for AI extraction fallback. | [extractor] Weinberg Capital Group is a family office doing control buyouts in lower-middle market. Platform criteria explicit: $15-100M revenue, $2-10M EBITDA, US-focused. Target sectors: Business Services, Engineered Products, Value-Added Distribution, Consumer Products. Recent active investments Dec 2025 and March 2025 indicate high current activity. No fund structure or AUM data provided on website.</t>
  </si>
  <si>
    <t>Welsh, Carson, Anderson &amp; Stowe, L.P.</t>
  </si>
  <si>
    <t>https://wcas.com</t>
  </si>
  <si>
    <t>Seeded from CapIQ export. Numeric fields are regex first-pass — crawler will confirm. capiq_description preserved for AI extraction fallback. | [extractor] WCAS is a multi-stage PE firm with dedicated Technology and Healthcare divisions. Navigation menu confirms focus on Technology sectors (EdTech, FinTech, GovTech, GRC, HCM, Payments, Real Estate tech, SCM, Data &amp; Information Services) and Healthcare sectors (Care Delivery, HCIT, Payor Services, Pharma Value Chain). No explicit financial criteria, AUM, fund vintage, or specific investment check sizes found on this page. HQ location not provided in source. Page content is primarily navigation structure; detailed deal criteria not extracted.</t>
  </si>
  <si>
    <t>West Monroe Partners, LLC</t>
  </si>
  <si>
    <t>https://www.westmonroe.com</t>
  </si>
  <si>
    <t>Seeded from CapIQ export. Numeric fields are regex first-pass — crawler will confirm. capiq_description preserved for AI extraction fallback. | [extractor] West Monroe is a management consulting firm providing portfolio value creation services to PE firms, not a PE/VC investor itself. Page describes consulting services for PE portfolio companies but contains no investment criteria, fund information, or deal-making activity. Firm_type set to 'Other' as it is a service provider rather than investor. Industries mentioned reflect consulting expertise areas, not investment focus. No AUM, check sizes, deal types, or investment thresholds found. Needs review to confirm whether this firm has any direct investment activity.</t>
  </si>
  <si>
    <t>Westbourne Capital Partners</t>
  </si>
  <si>
    <t>Woodbury</t>
  </si>
  <si>
    <t>https://www.westbournecp.com</t>
  </si>
  <si>
    <t>Manufacturing</t>
  </si>
  <si>
    <t>Metal Fabrication, Precision Machining, Industrial Services</t>
  </si>
  <si>
    <t>2025-09-01</t>
  </si>
  <si>
    <t>Seeded from CapIQ export. Numeric fields are regex first-pass — crawler will confirm. capiq_description preserved for AI extraction fallback. | [extractor] PE firm focused on industrial manufacturing and food sectors. Explicit investment criteria: Revenue $10M-$250M, EBITDA $3M-$50M. Portfolio shows consistent deal activity with most recent acquisition September 2025 (Harvey Vogel Manufacturing). Targets family/founder-owned businesses and distressed situations. Factsheet PDF available: https://www.westbournecp.com/_files/ugd/3a1984_cf308b7f8ab94745824b9cd773812a77.pdf — not parsed.</t>
  </si>
  <si>
    <t>White Mountains Partners, LLC</t>
  </si>
  <si>
    <t>https://www.wmpartners.com</t>
  </si>
  <si>
    <t>Essential Services, Light Industrial, Specialty Consumer</t>
  </si>
  <si>
    <t>2026-05-01</t>
  </si>
  <si>
    <t>Seeded from CapIQ export. Numeric fields are regex first-pass — crawler will confirm. capiq_description preserved for AI extraction fallback. | [extractor] White Mountains Partners launched 2023 as PE arm of White Mountains Insurance Group (NYSE: WTM). Targets first institutional capital (platforms) with majority ownership or minority with path to control. Requires 20%+ seller rollover equity and 85%+ FCF conversion. Geography: primarily North America, opportunistic internationally. Recent deals: Enterprise Solutions (Apr 2025), Basesix (Apr 2026), Hawkeye Electric acquisition by Enterprise Solutions (May 2026). Fact sheet PDF available: https://www.wtmpartners.com/wp-content/uploads/2026/04/2026-04-01-WMP-Teaser_vFinal.pdf</t>
  </si>
  <si>
    <t>White Wolf Capital LLC</t>
  </si>
  <si>
    <t>https://www.whitewolfcapital.com</t>
  </si>
  <si>
    <t>Seeded from CapIQ export. Numeric fields are regex first-pass — crawler will confirm. capiq_description preserved for AI extraction fallback. | [extractor] White Wolf Capital is a PE firm headquartered in Miami, FL, focusing on lower middle market corporate private equity. Portfolio spans HVAC, electrical, manufacturing, infrastructure, staffing, and related services. Also actively commits capital to private credit funds (mezzanine, SBIC, direct lending). Most recent deal activity Feb 2026. Investment criteria page truncated; specific size/revenue thresholds not extracted. Equity strategy emphasizes partnerships with management, family-owned businesses, and management-led buyouts.</t>
  </si>
  <si>
    <t>Willcrest Partners, LLC</t>
  </si>
  <si>
    <t>https://www.willcrest.com</t>
  </si>
  <si>
    <t>Seeded from CapIQ export. Numeric fields are regex first-pass — crawler will confirm. capiq_description preserved for AI extraction fallback. | [extractor] Willcrest operates as a PE firm with concentrated portfolio of long-term control investments (buyouts). Portfolio companies span technology (REQUORDIT), business services (Birch Risk Advisors), industrial/infrastructure (Pearce Services, Precision Aerospace), energy (Spear Power Systems), and healthcare staffing (WHS). All portfolio exits confirmed (Pearce to CBRE, Spear Power to Sensata, WHS to Medical Solutions). Firm is active as of 2026. Headquarters location, fund details, AUM, and investment size criteria not publicly disclosed. Some portfolio companies noted as minority/platform investments (Birch, WHS), suggesting potential minority/growth equity capability but not explicitly confirmed.</t>
  </si>
  <si>
    <t>Willow Creek Partners LLC</t>
  </si>
  <si>
    <t>Tysons</t>
  </si>
  <si>
    <t>https://www.willowcreekpartners.com</t>
  </si>
  <si>
    <t>Business Services, Technology</t>
  </si>
  <si>
    <t>Seeded from CapIQ export. Numeric fields are regex first-pass — crawler will confirm. capiq_description preserved for AI extraction fallback. | [extractor] Willow Creek Partners is a PE firm founded in 2017 targeting majority control acquisitions of profitable lower middle market companies ($2M-$10M EBITDA) at 3-6x entry multiples with 15+ years operating history. Two platforms: Private Equity and Real Estate (commercial, industrial, flex, multifamily). Portfolio includes companies in architecture, engineering, M&amp;A advisory, professional services, design, and creative/marketing. $1B+ capital deployed to date. Focus on operational transformation, technology enablement, and AI infrastructure. No specific fund name, vintage year, or AUM disclosed. Confidence is high based on explicit investment criteria stated on website.</t>
  </si>
  <si>
    <t>Wind Point Advisors, LLC</t>
  </si>
  <si>
    <t>https://www.wppartners.com</t>
  </si>
  <si>
    <t>Seeded from CapIQ export. Numeric fields are regex first-pass — crawler will confirm. capiq_description preserved for AI extraction fallback. | [extractor] Founded 1984. Majority equity control positions in lower/middle market. North American focus with active add-on acquisition strategy (buy-and-build). Criteria PDF available: https://www.wppartners.com/app/uploads/2026/05/Wind-Point-Partners-Overview-May-26.pdf — not parsed. HQ: 676 N. Michigan Avenue, Suite 3700, Chicago, IL 60611.</t>
  </si>
  <si>
    <t>Windjammer Capital Investors LLC</t>
  </si>
  <si>
    <t>Waltham</t>
  </si>
  <si>
    <t>https://www.windjammercapital.com</t>
  </si>
  <si>
    <t>3700.0</t>
  </si>
  <si>
    <t>Seeded from CapIQ export. Numeric fields are regex first-pass — crawler will confirm. capiq_description preserved for AI extraction fallback. | [extractor] Explicit investment criteria found on website. Firm operating since 1990 with most recent deal March 2026. EBITDA range $8M-$50M for platforms; check size $50M-$200M. Focus on niche manufacturing, business services, specialty distribution, healthcare, and consumer/food. Deal types include buyouts, recaps, family-owned carve-outs, public-to-private. Geography: North America HQ with global add-on acquisition strategy. Secondary office in Newport Beach, CA. Six funds identified (Fund I-VI) but specific vintage years and AUM not disclosed on pages reviewed.</t>
  </si>
  <si>
    <t>Wynnchurch Capital, L.P</t>
  </si>
  <si>
    <t>https://www.wynnchurch.com</t>
  </si>
  <si>
    <t>9100.0</t>
  </si>
  <si>
    <t>Seeded from CapIQ export. Numeric fields are regex first-pass — crawler will confirm. capiq_description preserved for AI extraction fallback. | [extractor] Middle-market PE firm with 20+ years history. Factsheet PDF available at https://www.wynnchurch.com/assets/site/pdf/Wynnchurch-Fact-Sheet_2026-04-28-151128_yfhd.pdf (not parsed). Geographic focus: North American. Specializes in complex transactions. Portfolio includes U.S. Pipe, Foss Manufacturing, Humanetics, NSC Minerals. No explicit minimum check size found; revenue range represents 'average investment' sizing.</t>
  </si>
  <si>
    <t>BID Equity GmbH</t>
  </si>
  <si>
    <t>https://www.bidequity.de</t>
  </si>
  <si>
    <t>needs_review</t>
  </si>
  <si>
    <t>Seeded from CapIQ export. Numeric fields are regex first-pass — crawler will confirm. capiq_description preserved for AI extraction fallback. | [pipeline] Crawl failed: no_content_extracted</t>
  </si>
  <si>
    <t>Balius Partners LLC</t>
  </si>
  <si>
    <t>https://www.baliuspartners.com</t>
  </si>
  <si>
    <t>Casla Partners, LLC</t>
  </si>
  <si>
    <t>https://www.casla-partners,.com</t>
  </si>
  <si>
    <t>Diveroli Investment Group Llc</t>
  </si>
  <si>
    <t>https://investdig.com/home</t>
  </si>
  <si>
    <t>Diversis Capital Management, L.P.</t>
  </si>
  <si>
    <t>https://www.diversis-management,.com</t>
  </si>
  <si>
    <t>3074.68</t>
  </si>
  <si>
    <t>Hastings Equity Partners, LLC</t>
  </si>
  <si>
    <t>https://www.hastings-partners,.com</t>
  </si>
  <si>
    <t>498.45</t>
  </si>
  <si>
    <t>Highland Rim Capital, L.P.</t>
  </si>
  <si>
    <t>https://www.highlandrimcap.com</t>
  </si>
  <si>
    <t>Seeded from CapIQ export. Numeric fields are regex first-pass — crawler will confirm. capiq_description preserved for AI extraction fallback. | [extractor] FAILED: extraction_returned_null</t>
  </si>
  <si>
    <t>Kanbrick LLC</t>
  </si>
  <si>
    <t>https://www.kanbrick.com</t>
  </si>
  <si>
    <t>Otter &amp; Co. Capital Holdings</t>
  </si>
  <si>
    <t>https://www.ottercompanycapital.com</t>
  </si>
  <si>
    <t>Platform Partners LLC</t>
  </si>
  <si>
    <t>https://www.platform.com</t>
  </si>
  <si>
    <t>Revel Street Partners, LLC</t>
  </si>
  <si>
    <t>https://www.revel-street.com</t>
  </si>
  <si>
    <t>Reynolda Equity Partners</t>
  </si>
  <si>
    <t>https://www.reynoldaequity.com</t>
  </si>
  <si>
    <t>Sycamore Partners Management, L.P.</t>
  </si>
  <si>
    <t>https://www.sycamorepartners.com</t>
  </si>
  <si>
    <t>TPG Global, LLC</t>
  </si>
  <si>
    <t>https://www.tpg-global,.com</t>
  </si>
  <si>
    <t>The Donerail Group, Inc</t>
  </si>
  <si>
    <t>https://www.donerail.com</t>
  </si>
  <si>
    <t>Zelkova Ventures</t>
  </si>
  <si>
    <t>https://zelkovavc.com</t>
  </si>
  <si>
    <t>ICS Pipeline Summary</t>
  </si>
  <si>
    <t>Export Date</t>
  </si>
  <si>
    <t>2026-06-07 22:11</t>
  </si>
  <si>
    <t>Total Records</t>
  </si>
  <si>
    <t>Complete</t>
  </si>
  <si>
    <t>Pending</t>
  </si>
  <si>
    <t>High Confidence</t>
  </si>
  <si>
    <t>Med Confidence</t>
  </si>
  <si>
    <t>Low Confidence</t>
  </si>
  <si>
    <t>Active Firms</t>
  </si>
  <si>
    <t>Slowing Firms</t>
  </si>
  <si>
    <t>Dormant Firms</t>
  </si>
  <si>
    <t>Crawler will confirm. capiq_description preserved for AI extraction fallback. | [extractor] Multi-strategy PE firm with 4 distinct investment strategies (AMCP, AMCS, AMCE, AMCSI). Data extracted from primary investment criteria sections. AMCP flagship strategy: $3.0B AUM, $60-200M check size, $150-750M target EV, $20-100M EBITDA. AMCS secondaries: $25-75M initial checks, $100-500M EV, $15M+ underlying EBITDA. AMCE (Europe): €650M AUM (~$710M USD). AMCSI: $10-50M checks, $100M+ EV, $20M+ EBITDA. Total firm AUM stated as $5.9B. Transaction types include founder transitions, build-ups, corporate divestitures, public-to-privates, and special situations. Active investor with 170+ companies invested across 24 platforms since inception.</t>
  </si>
  <si>
    <t>Crawler will confirm. capiq_description preserved for AI extraction fallback. | [extractor] AE Industrial Partners is a PE firm focused on aerospace, national security, and industrial services. Founded 2015. 30+ platform companies and 80+ minority/add-on investments completed. Two PDFs available but not parsed: 2025 Year In Review (https://www.aeroequity.com/wp-content/uploads/AE-Industrial-Partners-2025-Year-In-Review.pdf) and Fact Sheet April 2026 (https://www.aeroequity.com/wp-content/uploads/AE-Industrial-Fact-Sheet-April-2026.pdf). Also operates AE Ventures (early-stage tech) and AEI Aerospace Leasing. Additional office in Washington, D.C.</t>
  </si>
  <si>
    <t>Crawler will confirm. capiq_description preserved for AI extraction fallback. | [extractor] PE firm focused on essential, non-discretionary services. Platform target: $2-25M EBITDA; add-ons any size. Buy-and-build strategy with focus on fragmented markets. Three key verticals: B2B Services, Non-Discretionary Consumer Services, Supply Chain &amp; Infrastructure. Recent investments: Bluejack (Dec 2024), CompassMSP (Sept 2024), HighGrove (Nov 2025), Titan Restoration (Mar 2026). HQ location not explicitly stated on pages provided. Tearsheet PDF available: https://www.agellus.com/documents/FG/agellus/about/652199_Agellus_Tearsheet_-_Feb_2026_1.pdf</t>
  </si>
  <si>
    <t>Crawler will confirm. capiq_description preserved for AI extraction fallback. | [extractor] Control-focused PE firm with offices in Cleveland and Dallas. Explicitly targets lower-middle market companies with 3-15mm EBITDA (or &gt;5mm ARR for software). Check sizes 20-60mm hold value. Core criteria: actionable organic growth, recurring revenue, niche leadership, 30%+ gross margins, 15%+ EBITDA margins. North America focus (primarily US). Recent deals through May 2026. PDF overview available at https://aligncp.com/wp-content/uploads/ACP-Firm-Overview.pdf</t>
  </si>
  <si>
    <t>Crawler will confirm. capiq_description preserved for AI extraction fallback. | [extractor] Lower middle-market PE firm focused on critical infrastructure services and industrial end markets. Investment criteria explicitly stated: $4M–$20M target EBITDA, $20M–$175M typical platform enterprise value, $20M–$75M equity investment over life of investment. Conservative leverage approach. Portfolio page references active and realized investments but specific deal details not provided in source pages.</t>
  </si>
  <si>
    <t>Crawler will confirm. capiq_description preserved for AI extraction fallback. | [extractor] Control equity PE firm focused on lower middle market industrial businesses. Invests in niche manufacturing, critical industrial services, and specialty distribution. 50%+ ownership required. EBITDA criteria spans unprofitable to $40M. Enterprise value up to $375M. Geography includes US &amp; Canada. Portfolio shows 16 current/exited investments from 2016–2025, demonstrating active deal flow. Most recent investment November 2025. Firm Overview PDF available: https://www.angelesequity.com/s/AEP-Overview-June-2026.pdf — not parsed. Fund details and exact AUM not disclosed on website.</t>
  </si>
  <si>
    <t>Crawler will confirm. capiq_description preserved for AI extraction fallback. | [extractor] Apollo Global Management (NYSE:APO) is a diversified asset manager with PE-focused Real Assets platform. Content confirms investment activity in Real Estate, Infrastructure (control-oriented acquisitions, corporate carveouts in mid-market North America/Europe), and Energy Transition/Renewable Energy. Recent deal noted: $6.5B commitment to Ørsted's Hornsea 3 (Dec 2025). Case studies show $565M InterPark mortgage (2021) and Project Helix NPL acquisition (2018). HQ city/state and specific AUM not provided in source. Confidence Medium due to lack of explicit fund-level details and investment criteria thresholds.</t>
  </si>
  <si>
    <t>Crawler will confirm. capiq_description preserved for AI extraction fallback. | [extractor] Audax Private Equity firm with Flagship and Origins strategies. Buy &amp; Build approach targeting lower middle market. EBITDA range $5M-$100M, Enterprise Values up to $1B. Portfolio includes US/Canada HQ with operations across five continents. Sectors: Business Services, Consumer, Financial Services, Healthcare, Industrial Services &amp; Technologies, Software &amp; Technology. PDF fact sheet available but binary content not fully parsed.</t>
  </si>
  <si>
    <t>Crawler will confirm. capiq_description preserved for AI extraction fallback. | [extractor] Equity Investment check size $5M-$30M+, EBITDA $2M-$20M confirmed. Invests in US and Canada-based businesses with sustainable competitive advantages and recurring revenue. Focus on family and founder-led businesses with long-term growth prospects. Buy-and-build strategy employed. No fund-specific details, AUM, or recent deal dates found on provided pages.</t>
  </si>
  <si>
    <t>Crawler will confirm. capiq_description preserved for AI extraction fallback. | [extractor] Avem Partners is a PE firm exclusively focused on aerospace/defense lower middle market companies in North America. Founded 2017. Investment criteria explicitly stated: $10-50M check size, $15-150M EV, $15-200M revenue, $3M+ EBITDA. Deal structure involves majority control, limited leverage. HQ stated as 'Southern California' but specific city/state not provided. Multiple realized investments listed (Spencer Aerospace, Synchronous Aerospace Group, Advent Aerospace, Aero Pacific, Drilltec, Resco, Alloy Processing); no unrealized investment details visible on provided pages.</t>
  </si>
  <si>
    <t>Crawler will confirm. capiq_description preserved for AI extraction fallback. | [extractor] Bain Capital is a diversified global investment firm with multiple platforms: Private Equity (Global PE, Double Impact, Insurance), Growth &amp; Venture (Ventures, Life Sciences, Tech Opportunities, Crypto), Capital Solutions (Special Situations), Credit, and Real Assets (Real Estate). Founded 1984, headquartered Boston. Recent deal activity confirmed (Asia Fund VI close June 2026, $10.5B raised). AUM figure listed as ~$0B on page (appears to be placeholder). Specific investment criteria, check sizes, and sector preferences not provided on this page. Multi-platform structure suggests Generalist approach. needs_review=true due to incomplete AUM data and lack of specific criteria details.</t>
  </si>
  <si>
    <t>Crawler will confirm. capiq_description preserved for AI extraction fallback. | [extractor] Special situations PE firm focused on control and shared-control investments. Investment criteria explicitly stated on website. Portfolio includes diversified industrial, logistics, and specialty manufacturing companies. Recent deals through December 2025. Fact sheet PDF available at https://www.balmoralfunds.com/wp-content/uploads/Balmoral-Fact-Sheet-03-23-2026.pdf but not parsed. Sectors inferred from portfolio companies (aviation, logistics, modular construction, specialty chemicals). No AUM, fund vintage, or explicit sector exclusions disclosed.</t>
  </si>
  <si>
    <t>Crawler will confirm. capiq_description preserved for AI extraction fallback. | [extractor] Blackstone is a publicly traded diversified alternative asset manager (NYSE:BX) with multiple business lines including Private Equity, Real Estate, Credit &amp; Insurance, Infrastructure, Life Sciences, Growth, and Energy Transition Partners. Website is corporate overview; specific investment criteria not detailed. HQ location not confirmed from provided content. AUM and specific fund information not extracted from homepage. Requires review of individual business unit pages or investor materials for detailed criteria.</t>
  </si>
  <si>
    <t>Crawler will confirm. capiq_description preserved for AI extraction fallback. | [extractor] Firm at a Glance PDF available: https://static.spacecrafted.com/c92111026fa443e6b8fe2553197229b3/r/e47e0544e59d424198110dd6cbf5f238/1/Blue%20Sage%20Flyer%20%28%20October%20-%2025%29.pdf — not parsed. AUM stated as 'over a billion dollars' set to 1000.0. Fund IV closed January 2025 at $618M; Blue Sage Strategic Credit Fund closed October 2025 at $287M. Recent deal activity through November 2025 indicates Active status. Check size range inferred from '$25-60M investment' language. Sector keywords extracted from stated industries. Deal types include majority/minority equity and mezzanine debt flexibility per criteria.</t>
  </si>
  <si>
    <t>Crawler will confirm. capiq_description preserved for AI extraction fallback. | [crawler] Explicit investment criteria page found.</t>
  </si>
  <si>
    <t>Crawler will confirm. capiq_description preserved for AI extraction fallback. | [extractor] Family-owned investment firm investing own capital. Focuses on control acquisitions (buyout) of established middle-market businesses in industrial/manufacturing sectors. Explicit criteria: US or UK HQ, revenue $100M+, EBITDA $20-50M, deal size $150-500M, B2B distribution, family-owned preference, control position required. Portfolio includes Sur-Seal and Zahav Bioscience. No fund structure identified; appears to be evergreen family office vehicle.</t>
  </si>
  <si>
    <t>Crawler will confirm. capiq_description preserved for AI extraction fallback. | [extractor] CVC Capital Partners is a global PE firm with €209 billion AUM (~$228.6B USD as of March 2026). Portfolio includes 150+ companies across multiple strategies (Europe/Americas, Asia, Strategic Opportunities, Catalyst, Secondaries, Credit, Infrastructure). Confirmed sectors: Technology, Healthcare, Industrials, Financial Services, Consumer/Retail, Distribution, Energy, Manufacturing, Chemicals, Business Services, Sports/Media, Transportation/Infrastructure, Utilities, Building/Construction. HQ location not explicitly stated in source material.</t>
  </si>
  <si>
    <t>Crawler will confirm. capiq_description preserved for AI extraction fallback. | [extractor] PE firm focused on industrials sector with explicit investment criteria. Target platform investments: $5-20M EBITDA, transaction values up to $250M, control transactions, North America HQ, conservative capital structures. Three focus areas: Aerospace &amp; Defense, Industrial Products &amp; Services, Niche Products &amp; Services. Low disruption risk, large installed base, consumables, high visibility, diversified customer base, barriers to entry emphasized. Control acquisitions with repeatable value creation strategy.</t>
  </si>
  <si>
    <t>Crawler will confirm. capiq_description preserved for AI extraction fallback. | [extractor] Clearlake Capital Group is a PE firm with diverse portfolio spanning 100+ companies across technology, healthcare, industrials, and other sectors. Portfolio page confirms control-oriented buyout strategy. HQ location and specific fund details not found on provided content. Primarily US-focused investments based on portfolio composition.</t>
  </si>
  <si>
    <t>Crawler will confirm. capiq_description preserved for AI extraction fallback. | [extractor] Permanent capital acquirer focused on control buyouts of manufacturing/industrial service companies in Great Lakes region (especially within drive of Detroit). Explicit criteria: $2–4M EBITDA, $10–50M+ platform revenue, &gt;10% free cash flow margins, recurring revenue model. Founded 2017, completed 6+ acquisitions, 4 active portfolio companies as of latest update. Lead investor Jason Duzan has 25+ years Great Lakes transaction experience. PDF overview available: https://colfaxcreek.com/wp-content/uploads/2026/02/2-Pager-ColfaxCreek-Industrial-Overview-v2026-02.pdf</t>
  </si>
  <si>
    <t>Crawler will confirm. capiq_description preserved for AI extraction fallback. | [extractor] Copley Equity Partners is an evergreen single family office established in 2012. Focuses on lower-middle market private companies in North America with $2-25M in earnings/FCF. Invests $5-75M equity per transaction in both majority and minority positions. Industry agnostic across broad range of sectors. Portfolio shows healthcare, business services, industrial, consumer, and financial services exposure. No specific geographic HQ location, fund name, or AUM disclosed on website.</t>
  </si>
  <si>
    <t>Crawler will confirm. capiq_description preserved for AI extraction fallback. | [extractor] Lower middle market PE firm based in Austin, TX. Targets companies with EBITDA $5M-$15M. Focus on first round institutional capital, divestitures, and management-backed strategies. US investments with emphasis on Southwest. Portfolio shows exits through both strategic and financial buyers through 2025. Specific investment criteria explicitly stated on criteria page.</t>
  </si>
  <si>
    <t>Crawler will confirm. capiq_description preserved for AI extraction fallback. | [extractor] Francisco Partners is a leading technology-focused PE firm with 25+ years of track record, ~$50B capital raised, 450+ transactions, 100% tech &amp; tech-enabled services focus. Firm operates both private equity and credit strategies. HQ: San Francisco, CA with offices in London and New York. Named to GrowthCap's Top Growth Equity Firms of 2025, indicating growth equity activity alongside large buyouts (ranked top 3 in HEC Paris-Dow Jones large buyout performance). No specific check size, revenue, or EBITDA criteria found on website.</t>
  </si>
  <si>
    <t>Crawler will confirm. capiq_description preserved for AI extraction fallback. | [extractor] Founded 2018. Middle-market PE firm focused on control investments in industrial companies across North America. Target EBITDA $20-50+M. Equity investment size $100-300+M. Portfolio companies include CPL, Corvant, Horizon Global, WSB Engineering, JohnsByrne, Auveco, ITS Logistics, Hasa Inc, Supreme Cabinetry, Brown &amp; Settle. Multiple funds identified (Fund I, Fund II, Pre-Fund). AUM stated as $2.8+ billion.</t>
  </si>
  <si>
    <t>Crawler will confirm. capiq_description preserved for AI extraction fallback. | [extractor] Good Springs Capital LP established 2023. Inaugural fund raised $570M in Jan 2025, exceeding $600M in AUM. Focus on middle-market platform companies in industrials and services with majority control positions or minority leading to majority. Team previously built Alleghany Capital (2013-2023) with 8 portfolio companies generating ~$5B revenue in 2022. Recent deals include Snyder Environmental Services (May 2026), Falasca Mechanical (Oct 2025), Kimbel Mechanical add-on Gibson Plumbing (May 2025), Tectonic Engineering (Oct 2024). HQ: 1450 Broadway, 39th Floor, New York, NY 10018.</t>
  </si>
  <si>
    <t>Crawler will confirm. capiq_description preserved for AI extraction fallback. | [extractor] Explicit investment criteria stated on thesis page: typically invests $100-250MM equity per deal. Focus exclusively on energy economy (power generation, grid modernization, electrification, storage, AI infrastructure energy). Deal types include change of control buyouts, recapitalizations, generational transitions, growth and acquisition capital. Targets control or co-control transactions. Firm founded in 2021; has sub-advisory arrangement with Trilantic Capital Management L.P. Portfolio page references 'Fund III' and 'Legacy' funds. HQ in Austin, TX with additional office in New York, NY. No AUM or fund vintage year explicitly stated. Portfolio companies include AEGIS Hedging Solutions, CTC Global, ION Solar, Peak Utility Services, Saber Power Services, Unirac.</t>
  </si>
  <si>
    <t>Crawler will confirm. capiq_description preserved for AI extraction fallback. | [extractor] Guardian Capital Partners is a PE firm with explicit investment criteria on website. GPS Program focuses on Industrial Technology, Digital Infrastructure, Non-Discretionary Services, Food &amp; Beverage, and Water/Wastewater Infrastructure. Control buyouts, recaps, and add-ons. Target revenue $25-200M, EBITDA $5-30M, equity check $25-100M. US and Canada focus. Recent deals: Raptor Power Systems (Oct 2025, Fund IV), Nügredient Solutions (March 2026, Fund IV). Two one-pager PDFs available but not parsed per rules.</t>
  </si>
  <si>
    <t>Crawler will confirm. capiq_description preserved for AI extraction fallback. | [extractor] Clear investment criteria found on website. Geography includes US and Canada. Deal types include ownership transition of family businesses, management buyouts, majority recaps/full sales, corporate divestitures, ESOP replacement, growth capital, and joint ventures. Focus on modern industrial markets with trends in productivity tech, automation, IIOT, and advanced manufacturing. Criteria PDF available: https://hrco.com/assets/uploads/2026/05/HRCP-Investment-Criteria-2026.pdf — not parsed. HQ city/state not confirmed from available pages.</t>
  </si>
  <si>
    <t>Crawler will confirm. capiq_description preserved for AI extraction fallback. | [extractor] Explicit investment criteria page clearly states middle-market industrials focus. Control equity investments in manufacturing and value-added distribution businesses. Geographic scope: North America (19 US states, 2 Canadian provinces, Mexico). Platform companies typically $50-500M revenue with $5-50M EBITDA. Check sizes $15-100M. Four funds identified: IOP Fund II, III, IV with current 14 active holdings and 25 exited. Management alignment preferred. Seeks control positions with operational improvements and/or growth potential.</t>
  </si>
  <si>
    <t>Crawler will confirm. capiq_description preserved for AI extraction fallback. | [extractor] Page describes KKR's investment approach and organization (750+ investment professionals) but contains no explicit investment criteria (size, EBITDA, revenue, geography restrictions). Firm_type inferred as PE based on company profile as global investment firm with private equity operations. Deal_types limited to Buyout based on references to control investments and portfolio company ownership. Sector_tier1 set to Generalist due to multi-strategy approach (PE, Infrastructure, Real Estate, Credit, etc.). HQ location, fund details, and specific investment parameters not found on this page. Needs_review=true due to lack of explicit criteria data.</t>
  </si>
  <si>
    <t>Crawler will confirm. capiq_description preserved for AI extraction fallback. | [extractor] LFM Capital founded 2014, focuses exclusively on lower middle market manufacturing companies. Explicit buyout strategy with add-on acquisition platform evident from portfolio. Fact sheet PDF referenced but not parsed: https://www.lfmcapital.com/s/24-01-12-LFM-One-Pager-vJG.pdf. HQ location not disclosed on provided pages. Extensive portfolio of control acquisitions with multiple add-on acquisitions per company indicates mature, active buyout fund.</t>
  </si>
  <si>
    <t>Crawler will confirm. capiq_description preserved for AI extraction fallback. | [extractor] PE firm focused exclusively on consumer sector with six defined investment areas: Personal Care &amp; Beauty, E-commerce &amp; Digitally Enabled, Multi Unit &amp; Consumer Services, Enthusiast &amp; Lifestyle, Food/Beverage/Wellness, and Consumer Value Chain. Explicit investment criteria stated for revenue ($50-500M+), EBITDA ($5-50M+), and check size ($50-250M+). Invests in both minority and majority positions with conservative leverage approach. Recent deals include Stellar Snacks (Mar 2026) and exit of Not Your Mother's (Mar 2026). HQ in San Francisco with additional office in Charlotte, NC. $3.5B AUM as of Dec 31, 2025.</t>
  </si>
  <si>
    <t>Crawler will confirm. capiq_description preserved for AI extraction fallback. | [extractor] Firm focuses on middle market buyouts in healthcare and business services. 100+ investments, $1.9B invested, 20+ years tenure. Brochure available at https://www.northlanecapital.com/wp-content/uploads/Northlane-Capital-Partners-Overview-March-2026.pdf but not parsed. No minimum EBITDA for add-on transactions. Does 80+ add-on transactions historically, indicating buy-and-build strategy but classified as Buyout per control acquisition model.</t>
  </si>
  <si>
    <t>Crawler will confirm. capiq_description preserved for AI extraction fallback. | [extractor] One Equity Partners (OEP) is a PE firm focused on strategic combinations in the middle market. Geographic focus: North America and Western Europe. Explicit investment criteria provided for middle market buyouts with EV $100M-$1B, revenue $100M-$750M, EBITDA $10M-$150M, check sizes $30M-$150M. Target: B2B fragmented industries with combination-driven value creation. Recent deals: Leviat (06/2026), Kitwave Group (03/2026), Armis stake sale (04/2026) confirm active deal flow. HQ location not specified in source material.</t>
  </si>
  <si>
    <t>Crawler will confirm. capiq_description preserved for AI extraction fallback. | [extractor] Platte River Equity (not PRV Management, LP). Firm clearly states 5 funds raised with &gt;$1.7B committed capital. Target EBITDA $5M–$30M. Majority ownership preferred. North America focus. Recent deals through Jan 2026 indicate active investment activity. Industrial distribution and engineered solutions focus across subsectors (testing, compliance, automation, power, aerospace). Founder/family-owned businesses targeted.</t>
  </si>
  <si>
    <t>Crawler will confirm. capiq_description preserved for AI extraction fallback. | [extractor] PE firm with explicit investment criteria on website. Private equity acquisitions $100M-$10B EV across all industries and geographies. Private credit for businesses with $15-75M EBITDA, primarily North America. 73 transactions completed in 2025 (11 platforms, 48 add-ons, 11 divestitures, 3 credit deals). Fund VI closed 2024 at $12.4B. Deal types confirmed: buyout, recaps, and special situations. HQ location not stated on provided pages.</t>
  </si>
  <si>
    <t>Crawler will confirm. capiq_description preserved for AI extraction fallback. | [extractor] Promus Equity Partners is a family office founded in 2010. HQ: Chicago, IL. Focus on lower-middle-market companies with flexible investment mandate. Invests in leveraged buyouts, management buyouts, recaps, majority/minority positions, and growth equity for established businesses. Portfolio includes 20+ companies across business services, consumer products, distribution, education, food &amp; beverage, healthcare, and proprietary industrial products. Explicitly states minority and majority equity participation. No PDF criteria link found.</t>
  </si>
  <si>
    <t>Crawler will confirm. capiq_description preserved for AI extraction fallback. | [extractor] Shore Capital Partners is a PE firm actively investing in lower middle market companies. Platform investments target $5-100m revenue with $1-10m EBITDA. Add-on investments $1m+ revenue with no minimum EBITDA. Focus sectors: healthcare, food &amp; beverage, business services, industrials, real estate. 86 platform companies, 22 realized exits, ~$17B AUM. HQ Chicago; secondary office Nashville. Also operates a search fund vertical.</t>
  </si>
  <si>
    <t>Crawler will confirm. capiq_description preserved for AI extraction fallback. | [extractor] Thesis-driven lower middle-market PE firm founded in 2015. Control equity buyouts with buy-and-build strategy. Target: highly fragmented, recession-resistant industries with $1B+ TAM. EBITDA $2-14M, 30%+ gross margins, 10%+ EBITDA margins, 90%+ FCF conversion. Multiple funds (Fund I, II, III) referenced. Geography includes USA and Canada. No AUM or specific fund vintage data publicly disclosed.</t>
  </si>
  <si>
    <t>Crawler will confirm. capiq_description preserved for AI extraction fallback. | [extractor] Explicit investment criteria published on website. Founded 1991, 35+ years active. 47 platform investments, 165+ add-on acquisitions. Focus on middle-market distribution and business services with recession-resistant, secular growth characteristics. Targets market leaders with sustainable competitive advantages, strong management, demonstrated growth, and recurring customer demand. Equity check size range inferred from '$100-450M Equity Per Transaction' language.</t>
  </si>
  <si>
    <t>Crawler will confirm. capiq_description preserved for AI extraction fallback. | [extractor] TPG Capital, L.P. is a PE firm with 30+ year history. Multiple platforms exist (Capital, Growth, Impact, Credit, Real Estate). Source pages confirm Consumer and Business Services sector focus with specific subsector examples. Growth-oriented language in consumer describes control buyouts of established companies (Chobani, Petco, Viking Cruises, Life Time), not Growth Equity minority stakes. US investments confirmed via deal examples. HQ location, specific fund names, vintages, and AUM not found in provided pages.</t>
  </si>
  <si>
    <t>Crawler will confirm. capiq_description preserved for AI extraction fallback. | [extractor] Source page is LP Connect login/terms portal with no investment criteria data. Only confirms Carlyle Group Inc. is a PE firm. No deal types, sectors, check sizes, fund details, or AUM disclosed. Headquarters location unconfirmed from this source. Additional research needed from main corporate website or investment materials.</t>
  </si>
  <si>
    <t>Crawler will confirm. capiq_description preserved for AI extraction fallback. | [extractor] Portfolio page shows extensive software/tech investments across Applications, Cybersecurity, and Infrastructure sectors. Firm describes collaborative buyout approach with focus on product innovation and operational excellence. HQ location and specific fund details not available on this page. Multiple portfolio companies across US and international locations confirmed.</t>
  </si>
  <si>
    <t>Crawler will confirm. capiq_description preserved for AI extraction fallback. | [extractor] Multi-strategy PE firm with three core strategies: Control Buyout ($40M–$1.5B revenue, $10–$250M equity/debt), Structured Capital (non-control debt/equity, $10–$250M), and Small Cap (&lt;$10M checks). North American headquarters. Broad industrial and business services focus. Portfolio companies visible and active. Three PDFs available but not parsed: Firm Overview, Structured Capital Overview, Add-On Criteria.</t>
  </si>
  <si>
    <t>Crawler will confirm. capiq_description preserved for AI extraction fallback. | [extractor] Family office with perpetual/evergreen capital base. Primarily majority investments (control) in founder/family-owned businesses. Transaction types include family/founder liquidity, management buyouts, recaps, and growth capital. Conservative capital structures with modest to no leverage. Representative sectors: Industrial &amp; Environmental Services, Building Products, Infrastructure &amp; Power, Niche Manufacturing, Facility &amp; Commercial Services, Outsourced Business Services, Value-Add Distribution, Specialty Rental. 25+ year track record since 1996. Firm Overview PDF available: https://wareing.com/pdf/Wareing%20%26%20Co%20-%20Two%20Pager-2292026.pdf</t>
  </si>
  <si>
    <t>Crawler will confirm. capiq_description preserved for AI extraction fallback. | [extractor] Founded 1984. Majority equity control positions in lower/middle market. North American focus with active add-on acquisition strategy (buy-and-build). Criteria PDF available: https://www.wppartners.com/app/uploads/2026/05/Wind-Point-Partners-Overview-May-26.pdf — not parsed. HQ: 676 N. Michigan Avenue, Suite 3700, Chicago, IL 60611.</t>
  </si>
  <si>
    <t>Crawler will confirm. capiq_description preserved for AI extraction fallback. | [extractor] Explicit investment criteria found on website. Firm operating since 1990 with most recent deal March 2026. EBITDA range $8M-$50M for platforms; check size $50M-$200M. Focus on niche manufacturing, business services, specialty distribution, healthcare, and consumer/food. Deal types include buyouts, recaps, family-owned carve-outs, public-to-private. Geography: North America HQ with global add-on acquisition strategy. Secondary office in Newport Beach, CA. Six funds identified (Fund I-VI) but specific vintage years and AUM not disclosed on pages reviewed.</t>
  </si>
  <si>
    <t>Crawler will confirm. capiq_description preserved for AI extraction fallback. | [extractor] Middle-market PE firm with 20+ years history. Factsheet PDF available at https://www.wynnchurch.com/assets/site/pdf/Wynnchurch-Fact-Sheet_2026-04-28-151128_yfhd.pdf (not parsed). Geographic focus: North American. Specializes in complex transactions. Portfolio includes U.S. Pipe, Foss Manufacturing, Humanetics, NSC Minerals. No explicit minimum check size found; revenue range represents 'average investment' sizing.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</si>
</sst>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b/>
      <sz val="14"/>
      <name val="Arial"/>
    </font>
    <font>
      <b/>
      <sz val="10"/>
      <name val="Arial"/>
    </font>
    <font>
      <sz val="10"/>
      <name val="Arial"/>
    </font>
  </fonts>
  <fills count="7">
    <fill>
      <patternFill patternType="none"/>
    </fill>
    <fill>
      <patternFill patternType="gray125"/>
    </fill>
    <fill>
      <patternFill patternType="solid">
        <fgColor rgb="FF1F3864"/>
      </patternFill>
    </fill>
    <fill>
      <patternFill patternType="solid">
        <fgColor rgb="FFFFEB9C"/>
      </patternFill>
    </fill>
    <fill>
      <patternFill patternType="solid">
        <fgColor rgb="FFFCE4D6"/>
      </patternFill>
    </fill>
    <fill>
      <patternFill patternType="solid">
        <fgColor rgb="FFC6EFCE"/>
      </patternFill>
    </fill>
    <fill>
      <patternFill patternType="solid">
        <fgColor rgb="FFFFC7CE"/>
      </patternFill>
    </fill>
  </fills>
  <borders count="2">
    <border>
      <left/>
      <right/>
      <top/>
      <bottom/>
      <diagonal/>
    </border>
    <border>
      <left/>
      <right style="thin">
        <color rgb="FFCCCCCC"/>
      </right>
      <top/>
      <bottom style="thin">
        <color rgb="FFCCCC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6" borderId="1" xfId="0" applyFont="1" applyFill="1" applyBorder="1" applyAlignment="1">
      <alignment vertical="top"/>
    </xf>
    <xf numFmtId="0" fontId="2" fillId="6" borderId="1" xfId="0" applyFont="1" applyFill="1" applyBorder="1" applyAlignment="1">
      <alignment vertical="top" wrapText="1"/>
    </xf>
    <xf numFmtId="0" fontId="3" fillId="0" borderId="0" xfId="0" applyFont="1"/>
    <xf numFmtId="0" fontId="4" fillId="0" borderId="0" xfId="0" applyFont="1"/>
    <xf numFmtId="0" fontId="5" fillId="0" borderId="0" xfId="0" applyFont="1"/>
    <xf numFmtId="0" fontId="1" fillId="2" borderId="1" xfId="0" applyFont="1" applyFill="1" applyBorder="1" applyAlignment="1">
      <alignment horizontal="center" vertical="center"/>
    </xf>
    <xf numFmtId="0" fontId="2" fillId="5" borderId="1" xfId="0" applyFont="1" applyFill="1" applyBorder="1" applyAlignment="1">
      <alignment horizontal="fill" vertical="top"/>
    </xf>
    <xf numFmtId="0" fontId="2" fillId="3" borderId="1" xfId="0" applyFont="1" applyFill="1" applyBorder="1" applyAlignment="1">
      <alignment horizontal="fill" vertical="top"/>
    </xf>
    <xf numFmtId="0" fontId="2" fillId="4" borderId="1" xfId="0" applyFont="1" applyFill="1" applyBorder="1" applyAlignment="1">
      <alignment horizontal="fill"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473"/>
  <sheetViews>
    <sheetView topLeftCell="T1" workbookViewId="0">
      <pane ySplit="1" topLeftCell="A4" activePane="bottomLeft" state="frozen"/>
      <selection pane="bottomLeft" activeCell="AB4" sqref="AB4"/>
    </sheetView>
  </sheetViews>
  <sheetFormatPr defaultRowHeight="14.25" x14ac:dyDescent="0.45"/>
  <cols>
    <col min="1" max="1" width="30" customWidth="1"/>
    <col min="2" max="2" width="10" customWidth="1"/>
    <col min="3" max="3" width="6" customWidth="1"/>
    <col min="4" max="4" width="12" customWidth="1"/>
    <col min="5" max="5" width="28" customWidth="1"/>
    <col min="6" max="6" width="10" customWidth="1"/>
    <col min="7" max="10" width="12" customWidth="1"/>
    <col min="11" max="14" width="10" customWidth="1"/>
    <col min="15" max="15" width="22" customWidth="1"/>
    <col min="16" max="16" width="28" customWidth="1"/>
    <col min="17" max="18" width="28" hidden="1" customWidth="1"/>
    <col min="19" max="19" width="20" hidden="1" customWidth="1"/>
    <col min="20" max="21" width="10" customWidth="1"/>
    <col min="22" max="22" width="12" customWidth="1"/>
    <col min="23" max="23" width="20" customWidth="1"/>
    <col min="24" max="24" width="10" customWidth="1"/>
    <col min="25" max="25" width="9" customWidth="1"/>
    <col min="26" max="27" width="12" customWidth="1"/>
    <col min="28" max="28" width="45" customWidth="1"/>
  </cols>
  <sheetData>
    <row r="1" spans="1:30" ht="30"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30" ht="15" hidden="1" customHeight="1" x14ac:dyDescent="0.45">
      <c r="A2" s="2" t="s">
        <v>28</v>
      </c>
      <c r="B2" s="2" t="s">
        <v>29</v>
      </c>
      <c r="C2" s="2"/>
      <c r="D2" s="2"/>
      <c r="E2" s="2" t="s">
        <v>30</v>
      </c>
      <c r="F2" s="2" t="s">
        <v>31</v>
      </c>
      <c r="G2" s="2"/>
      <c r="H2" s="2"/>
      <c r="I2" s="2"/>
      <c r="J2" s="2"/>
      <c r="K2" s="2"/>
      <c r="L2" s="2"/>
      <c r="M2" s="2"/>
      <c r="N2" s="2"/>
      <c r="O2" s="2" t="s">
        <v>32</v>
      </c>
      <c r="P2" s="2" t="s">
        <v>33</v>
      </c>
      <c r="Q2" s="2"/>
      <c r="R2" s="2"/>
      <c r="S2" s="2"/>
      <c r="T2" s="2" t="s">
        <v>34</v>
      </c>
      <c r="U2" s="2" t="s">
        <v>35</v>
      </c>
      <c r="V2" s="2" t="s">
        <v>36</v>
      </c>
      <c r="W2" s="2" t="s">
        <v>37</v>
      </c>
      <c r="X2" s="2" t="s">
        <v>38</v>
      </c>
      <c r="Y2" s="2" t="s">
        <v>39</v>
      </c>
      <c r="Z2" s="2" t="s">
        <v>40</v>
      </c>
      <c r="AA2" s="2" t="s">
        <v>41</v>
      </c>
      <c r="AB2" s="3" t="s">
        <v>42</v>
      </c>
      <c r="AC2">
        <f>COUNTIF(Sheet1!$A$1:$A$50,Firms!A2)</f>
        <v>0</v>
      </c>
    </row>
    <row r="3" spans="1:30" ht="15" hidden="1" customHeight="1" x14ac:dyDescent="0.45">
      <c r="A3" s="4" t="s">
        <v>43</v>
      </c>
      <c r="B3" s="4" t="s">
        <v>44</v>
      </c>
      <c r="C3" s="4"/>
      <c r="D3" s="4"/>
      <c r="E3" s="4" t="s">
        <v>45</v>
      </c>
      <c r="F3" s="4"/>
      <c r="G3" s="4"/>
      <c r="H3" s="4"/>
      <c r="I3" s="4"/>
      <c r="J3" s="4"/>
      <c r="K3" s="4"/>
      <c r="L3" s="4"/>
      <c r="M3" s="4"/>
      <c r="N3" s="4"/>
      <c r="O3" s="4"/>
      <c r="P3" s="4" t="s">
        <v>46</v>
      </c>
      <c r="Q3" s="4"/>
      <c r="R3" s="4"/>
      <c r="S3" s="4"/>
      <c r="T3" s="4"/>
      <c r="U3" s="4" t="s">
        <v>35</v>
      </c>
      <c r="V3" s="4"/>
      <c r="W3" s="4"/>
      <c r="X3" s="4" t="s">
        <v>47</v>
      </c>
      <c r="Y3" s="4" t="s">
        <v>48</v>
      </c>
      <c r="Z3" s="4" t="s">
        <v>40</v>
      </c>
      <c r="AA3" s="4" t="s">
        <v>41</v>
      </c>
      <c r="AB3" s="5" t="s">
        <v>49</v>
      </c>
      <c r="AC3">
        <f>COUNTIF(Sheet1!$A$1:$A$50,Firms!A3)</f>
        <v>0</v>
      </c>
    </row>
    <row r="4" spans="1:30" ht="15" customHeight="1" x14ac:dyDescent="0.45">
      <c r="A4" s="6" t="s">
        <v>50</v>
      </c>
      <c r="B4" s="6" t="s">
        <v>29</v>
      </c>
      <c r="C4" s="6" t="s">
        <v>51</v>
      </c>
      <c r="D4" s="6" t="s">
        <v>52</v>
      </c>
      <c r="E4" s="6" t="s">
        <v>53</v>
      </c>
      <c r="F4" s="6" t="s">
        <v>31</v>
      </c>
      <c r="G4" s="6"/>
      <c r="H4" s="6"/>
      <c r="I4" s="6" t="s">
        <v>54</v>
      </c>
      <c r="J4" s="6" t="s">
        <v>55</v>
      </c>
      <c r="K4" s="6" t="s">
        <v>56</v>
      </c>
      <c r="L4" s="6" t="s">
        <v>57</v>
      </c>
      <c r="M4" s="6" t="s">
        <v>58</v>
      </c>
      <c r="N4" s="6" t="s">
        <v>59</v>
      </c>
      <c r="O4" s="6" t="s">
        <v>60</v>
      </c>
      <c r="P4" s="6" t="s">
        <v>61</v>
      </c>
      <c r="Q4" s="6" t="s">
        <v>62</v>
      </c>
      <c r="R4" s="6"/>
      <c r="S4" s="6"/>
      <c r="T4" s="6" t="s">
        <v>34</v>
      </c>
      <c r="U4" s="6" t="s">
        <v>35</v>
      </c>
      <c r="V4" s="6"/>
      <c r="W4" s="6"/>
      <c r="X4" s="6" t="s">
        <v>63</v>
      </c>
      <c r="Y4" s="6" t="s">
        <v>39</v>
      </c>
      <c r="Z4" s="6" t="s">
        <v>40</v>
      </c>
      <c r="AA4" s="6" t="s">
        <v>41</v>
      </c>
      <c r="AB4" s="7" t="s">
        <v>64</v>
      </c>
      <c r="AC4">
        <f>COUNTIF(Sheet1!$A$1:$A$50,Firms!A4)</f>
        <v>1</v>
      </c>
      <c r="AD4" t="str">
        <f>SUBSTITUTE(AB4,"Seeded from CapIQ export. Numeric fields are regex first-pass — c","C")</f>
        <v>Crawler will confirm. capiq_description preserved for AI extraction fallback. | [extractor] Multi-strategy PE firm with 4 distinct investment strategies (AMCP, AMCS, AMCE, AMCSI). Data extracted from primary investment criteria sections. AMCP flagship strategy: $3.0B AUM, $60-200M check size, $150-750M target EV, $20-100M EBITDA. AMCS secondaries: $25-75M initial checks, $100-500M EV, $15M+ underlying EBITDA. AMCE (Europe): €650M AUM (~$710M USD). AMCSI: $10-50M checks, $100M+ EV, $20M+ EBITDA. Total firm AUM stated as $5.9B. Transaction types include founder transitions, build-ups, corporate divestitures, public-to-privates, and special situations. Active investor with 170+ companies invested across 24 platforms since inception.</v>
      </c>
    </row>
    <row r="5" spans="1:30" ht="15" hidden="1" customHeight="1" x14ac:dyDescent="0.45">
      <c r="A5" s="6" t="s">
        <v>65</v>
      </c>
      <c r="B5" s="6" t="s">
        <v>29</v>
      </c>
      <c r="C5" s="6" t="s">
        <v>66</v>
      </c>
      <c r="D5" s="6" t="s">
        <v>67</v>
      </c>
      <c r="E5" s="6" t="s">
        <v>68</v>
      </c>
      <c r="F5" s="6" t="s">
        <v>31</v>
      </c>
      <c r="G5" s="6" t="s">
        <v>69</v>
      </c>
      <c r="H5" s="6" t="s">
        <v>70</v>
      </c>
      <c r="I5" s="6" t="s">
        <v>71</v>
      </c>
      <c r="J5" s="6" t="s">
        <v>69</v>
      </c>
      <c r="K5" s="6"/>
      <c r="L5" s="6"/>
      <c r="M5" s="6"/>
      <c r="N5" s="6"/>
      <c r="O5" s="6" t="s">
        <v>72</v>
      </c>
      <c r="P5" s="6" t="s">
        <v>73</v>
      </c>
      <c r="Q5" s="6"/>
      <c r="R5" s="6"/>
      <c r="S5" s="6"/>
      <c r="T5" s="6" t="s">
        <v>74</v>
      </c>
      <c r="U5" s="6" t="s">
        <v>35</v>
      </c>
      <c r="V5" s="6" t="s">
        <v>75</v>
      </c>
      <c r="W5" s="6"/>
      <c r="X5" s="6" t="s">
        <v>63</v>
      </c>
      <c r="Y5" s="6" t="s">
        <v>39</v>
      </c>
      <c r="Z5" s="6" t="s">
        <v>40</v>
      </c>
      <c r="AA5" s="6" t="s">
        <v>41</v>
      </c>
      <c r="AB5" s="7" t="s">
        <v>76</v>
      </c>
      <c r="AC5">
        <f>COUNTIF(Sheet1!$A$1:$A$50,Firms!A5)</f>
        <v>0</v>
      </c>
    </row>
    <row r="6" spans="1:30" ht="15" customHeight="1" x14ac:dyDescent="0.45">
      <c r="A6" s="2" t="s">
        <v>77</v>
      </c>
      <c r="B6" s="2" t="s">
        <v>29</v>
      </c>
      <c r="C6" s="2" t="s">
        <v>78</v>
      </c>
      <c r="D6" s="2" t="s">
        <v>79</v>
      </c>
      <c r="E6" s="2" t="s">
        <v>80</v>
      </c>
      <c r="F6" s="2" t="s">
        <v>81</v>
      </c>
      <c r="G6" s="2"/>
      <c r="H6" s="2"/>
      <c r="I6" s="2"/>
      <c r="J6" s="2"/>
      <c r="K6" s="2"/>
      <c r="L6" s="2"/>
      <c r="M6" s="2"/>
      <c r="N6" s="2"/>
      <c r="O6" s="2" t="s">
        <v>82</v>
      </c>
      <c r="P6" s="2" t="s">
        <v>83</v>
      </c>
      <c r="Q6" s="2"/>
      <c r="R6" s="2"/>
      <c r="S6" s="2"/>
      <c r="T6" s="2"/>
      <c r="U6" s="2" t="s">
        <v>35</v>
      </c>
      <c r="V6" s="2" t="s">
        <v>84</v>
      </c>
      <c r="W6" s="2"/>
      <c r="X6" s="2" t="s">
        <v>38</v>
      </c>
      <c r="Y6" s="2" t="s">
        <v>39</v>
      </c>
      <c r="Z6" s="2" t="s">
        <v>40</v>
      </c>
      <c r="AA6" s="2" t="s">
        <v>41</v>
      </c>
      <c r="AB6" s="3" t="s">
        <v>85</v>
      </c>
      <c r="AC6">
        <f>COUNTIF(Sheet1!$A$1:$A$50,Firms!A6)</f>
        <v>1</v>
      </c>
      <c r="AD6" t="str">
        <f>SUBSTITUTE(AB6,"Seeded from CapIQ export. Numeric fields are regex first-pass — c","C")</f>
        <v>Crawler will confirm. capiq_description preserved for AI extraction fallback. | [extractor] AE Industrial Partners is a PE firm focused on aerospace, national security, and industrial services. Founded 2015. 30+ platform companies and 80+ minority/add-on investments completed. Two PDFs available but not parsed: 2025 Year In Review (https://www.aeroequity.com/wp-content/uploads/AE-Industrial-Partners-2025-Year-In-Review.pdf) and Fact Sheet April 2026 (https://www.aeroequity.com/wp-content/uploads/AE-Industrial-Fact-Sheet-April-2026.pdf). Also operates AE Ventures (early-stage tech) and AEI Aerospace Leasing. Additional office in Washington, D.C.</v>
      </c>
    </row>
    <row r="7" spans="1:30" ht="15" hidden="1" customHeight="1" x14ac:dyDescent="0.45">
      <c r="A7" s="2" t="s">
        <v>86</v>
      </c>
      <c r="B7" s="2" t="s">
        <v>29</v>
      </c>
      <c r="C7" s="2"/>
      <c r="D7" s="2"/>
      <c r="E7" s="2" t="s">
        <v>87</v>
      </c>
      <c r="F7" s="2"/>
      <c r="G7" s="2"/>
      <c r="H7" s="2"/>
      <c r="I7" s="2"/>
      <c r="J7" s="2"/>
      <c r="K7" s="2"/>
      <c r="L7" s="2"/>
      <c r="M7" s="2"/>
      <c r="N7" s="2"/>
      <c r="O7" s="2" t="s">
        <v>32</v>
      </c>
      <c r="P7" s="2" t="s">
        <v>88</v>
      </c>
      <c r="Q7" s="2"/>
      <c r="R7" s="2"/>
      <c r="S7" s="2"/>
      <c r="T7" s="2" t="s">
        <v>89</v>
      </c>
      <c r="U7" s="2" t="s">
        <v>35</v>
      </c>
      <c r="V7" s="2"/>
      <c r="W7" s="2"/>
      <c r="X7" s="2" t="s">
        <v>38</v>
      </c>
      <c r="Y7" s="2" t="s">
        <v>39</v>
      </c>
      <c r="Z7" s="2" t="s">
        <v>40</v>
      </c>
      <c r="AA7" s="2" t="s">
        <v>41</v>
      </c>
      <c r="AB7" s="3" t="s">
        <v>90</v>
      </c>
      <c r="AC7">
        <f>COUNTIF(Sheet1!$A$1:$A$50,Firms!A7)</f>
        <v>0</v>
      </c>
    </row>
    <row r="8" spans="1:30" ht="15" hidden="1" customHeight="1" x14ac:dyDescent="0.45">
      <c r="A8" s="4" t="s">
        <v>91</v>
      </c>
      <c r="B8" s="4" t="s">
        <v>44</v>
      </c>
      <c r="C8" s="4"/>
      <c r="D8" s="4"/>
      <c r="E8" s="4" t="s">
        <v>92</v>
      </c>
      <c r="F8" s="4"/>
      <c r="G8" s="4"/>
      <c r="H8" s="4"/>
      <c r="I8" s="4"/>
      <c r="J8" s="4"/>
      <c r="K8" s="4"/>
      <c r="L8" s="4"/>
      <c r="M8" s="4"/>
      <c r="N8" s="4"/>
      <c r="O8" s="4"/>
      <c r="P8" s="4" t="s">
        <v>93</v>
      </c>
      <c r="Q8" s="4"/>
      <c r="R8" s="4"/>
      <c r="S8" s="4"/>
      <c r="T8" s="4"/>
      <c r="U8" s="4" t="s">
        <v>35</v>
      </c>
      <c r="V8" s="4"/>
      <c r="W8" s="4"/>
      <c r="X8" s="4" t="s">
        <v>47</v>
      </c>
      <c r="Y8" s="4" t="s">
        <v>48</v>
      </c>
      <c r="Z8" s="4" t="s">
        <v>40</v>
      </c>
      <c r="AA8" s="4" t="s">
        <v>41</v>
      </c>
      <c r="AB8" s="5" t="s">
        <v>94</v>
      </c>
      <c r="AC8">
        <f>COUNTIF(Sheet1!$A$1:$A$50,Firms!A8)</f>
        <v>0</v>
      </c>
    </row>
    <row r="9" spans="1:30" ht="15" hidden="1" customHeight="1" x14ac:dyDescent="0.45">
      <c r="A9" s="2" t="s">
        <v>95</v>
      </c>
      <c r="B9" s="2" t="s">
        <v>44</v>
      </c>
      <c r="C9" s="2"/>
      <c r="D9" s="2"/>
      <c r="E9" s="2" t="s">
        <v>96</v>
      </c>
      <c r="F9" s="2" t="s">
        <v>31</v>
      </c>
      <c r="G9" s="2"/>
      <c r="H9" s="2"/>
      <c r="I9" s="2"/>
      <c r="J9" s="2"/>
      <c r="K9" s="2"/>
      <c r="L9" s="2"/>
      <c r="M9" s="2"/>
      <c r="N9" s="2"/>
      <c r="O9" s="2" t="s">
        <v>44</v>
      </c>
      <c r="P9" s="2" t="s">
        <v>97</v>
      </c>
      <c r="Q9" s="2"/>
      <c r="R9" s="2"/>
      <c r="S9" s="2"/>
      <c r="T9" s="2" t="s">
        <v>98</v>
      </c>
      <c r="U9" s="2"/>
      <c r="V9" s="2"/>
      <c r="W9" s="2"/>
      <c r="X9" s="2" t="s">
        <v>38</v>
      </c>
      <c r="Y9" s="2" t="s">
        <v>39</v>
      </c>
      <c r="Z9" s="2" t="s">
        <v>40</v>
      </c>
      <c r="AA9" s="2" t="s">
        <v>41</v>
      </c>
      <c r="AB9" s="3" t="s">
        <v>99</v>
      </c>
      <c r="AC9">
        <f>COUNTIF(Sheet1!$A$1:$A$50,Firms!A9)</f>
        <v>0</v>
      </c>
    </row>
    <row r="10" spans="1:30" ht="15" hidden="1" customHeight="1" x14ac:dyDescent="0.45">
      <c r="A10" s="2" t="s">
        <v>100</v>
      </c>
      <c r="B10" s="2" t="s">
        <v>29</v>
      </c>
      <c r="C10" s="2" t="s">
        <v>101</v>
      </c>
      <c r="D10" s="2" t="s">
        <v>102</v>
      </c>
      <c r="E10" s="2" t="s">
        <v>103</v>
      </c>
      <c r="F10" s="2" t="s">
        <v>81</v>
      </c>
      <c r="G10" s="2"/>
      <c r="H10" s="2" t="s">
        <v>59</v>
      </c>
      <c r="I10" s="2"/>
      <c r="J10" s="2"/>
      <c r="K10" s="2"/>
      <c r="L10" s="2"/>
      <c r="M10" s="2"/>
      <c r="N10" s="2"/>
      <c r="O10" s="2" t="s">
        <v>104</v>
      </c>
      <c r="P10" s="2" t="s">
        <v>105</v>
      </c>
      <c r="Q10" s="2"/>
      <c r="R10" s="2"/>
      <c r="S10" s="2"/>
      <c r="T10" s="2" t="s">
        <v>106</v>
      </c>
      <c r="U10" s="2" t="s">
        <v>35</v>
      </c>
      <c r="V10" s="2"/>
      <c r="W10" s="2"/>
      <c r="X10" s="2" t="s">
        <v>38</v>
      </c>
      <c r="Y10" s="2" t="s">
        <v>39</v>
      </c>
      <c r="Z10" s="2" t="s">
        <v>40</v>
      </c>
      <c r="AA10" s="2" t="s">
        <v>41</v>
      </c>
      <c r="AB10" s="3" t="s">
        <v>107</v>
      </c>
      <c r="AC10">
        <f>COUNTIF(Sheet1!$A$1:$A$50,Firms!A10)</f>
        <v>0</v>
      </c>
    </row>
    <row r="11" spans="1:30" ht="15" hidden="1" customHeight="1" x14ac:dyDescent="0.45">
      <c r="A11" s="6" t="s">
        <v>108</v>
      </c>
      <c r="B11" s="6" t="s">
        <v>29</v>
      </c>
      <c r="C11" s="6"/>
      <c r="D11" s="6"/>
      <c r="E11" s="6" t="s">
        <v>109</v>
      </c>
      <c r="F11" s="6" t="s">
        <v>81</v>
      </c>
      <c r="G11" s="6" t="s">
        <v>110</v>
      </c>
      <c r="H11" s="6" t="s">
        <v>59</v>
      </c>
      <c r="I11" s="6"/>
      <c r="J11" s="6"/>
      <c r="K11" s="6"/>
      <c r="L11" s="6"/>
      <c r="M11" s="6"/>
      <c r="N11" s="6"/>
      <c r="O11" s="6" t="s">
        <v>32</v>
      </c>
      <c r="P11" s="6" t="s">
        <v>111</v>
      </c>
      <c r="Q11" s="6"/>
      <c r="R11" s="6"/>
      <c r="S11" s="6"/>
      <c r="T11" s="6" t="s">
        <v>112</v>
      </c>
      <c r="U11" s="6" t="s">
        <v>35</v>
      </c>
      <c r="V11" s="6"/>
      <c r="W11" s="6"/>
      <c r="X11" s="6" t="s">
        <v>63</v>
      </c>
      <c r="Y11" s="6" t="s">
        <v>39</v>
      </c>
      <c r="Z11" s="6" t="s">
        <v>40</v>
      </c>
      <c r="AA11" s="6" t="s">
        <v>41</v>
      </c>
      <c r="AB11" s="7" t="s">
        <v>113</v>
      </c>
      <c r="AC11">
        <f>COUNTIF(Sheet1!$A$1:$A$50,Firms!A11)</f>
        <v>0</v>
      </c>
    </row>
    <row r="12" spans="1:30" ht="15" hidden="1" customHeight="1" x14ac:dyDescent="0.45">
      <c r="A12" s="4" t="s">
        <v>114</v>
      </c>
      <c r="B12" s="4" t="s">
        <v>29</v>
      </c>
      <c r="C12" s="4"/>
      <c r="D12" s="4"/>
      <c r="E12" s="4" t="s">
        <v>115</v>
      </c>
      <c r="F12" s="4"/>
      <c r="G12" s="4"/>
      <c r="H12" s="4"/>
      <c r="I12" s="4"/>
      <c r="J12" s="4"/>
      <c r="K12" s="4"/>
      <c r="L12" s="4"/>
      <c r="M12" s="4"/>
      <c r="N12" s="4"/>
      <c r="O12" s="4"/>
      <c r="P12" s="4" t="s">
        <v>116</v>
      </c>
      <c r="Q12" s="4"/>
      <c r="R12" s="4"/>
      <c r="S12" s="4"/>
      <c r="T12" s="4"/>
      <c r="U12" s="4" t="s">
        <v>35</v>
      </c>
      <c r="V12" s="4"/>
      <c r="W12" s="4"/>
      <c r="X12" s="4" t="s">
        <v>47</v>
      </c>
      <c r="Y12" s="4" t="s">
        <v>48</v>
      </c>
      <c r="Z12" s="4" t="s">
        <v>40</v>
      </c>
      <c r="AA12" s="4" t="s">
        <v>41</v>
      </c>
      <c r="AB12" s="5" t="s">
        <v>117</v>
      </c>
      <c r="AC12">
        <f>COUNTIF(Sheet1!$A$1:$A$50,Firms!A12)</f>
        <v>0</v>
      </c>
    </row>
    <row r="13" spans="1:30" ht="15" hidden="1" customHeight="1" x14ac:dyDescent="0.45">
      <c r="A13" s="4" t="s">
        <v>118</v>
      </c>
      <c r="B13" s="4" t="s">
        <v>44</v>
      </c>
      <c r="C13" s="4" t="s">
        <v>119</v>
      </c>
      <c r="D13" s="4" t="s">
        <v>120</v>
      </c>
      <c r="E13" s="4" t="s">
        <v>121</v>
      </c>
      <c r="F13" s="4"/>
      <c r="G13" s="4"/>
      <c r="H13" s="4"/>
      <c r="I13" s="4"/>
      <c r="J13" s="4"/>
      <c r="K13" s="4"/>
      <c r="L13" s="4"/>
      <c r="M13" s="4"/>
      <c r="N13" s="4"/>
      <c r="O13" s="4"/>
      <c r="P13" s="4"/>
      <c r="Q13" s="4"/>
      <c r="R13" s="4"/>
      <c r="S13" s="4"/>
      <c r="T13" s="4"/>
      <c r="U13" s="4"/>
      <c r="V13" s="4"/>
      <c r="W13" s="4"/>
      <c r="X13" s="4" t="s">
        <v>47</v>
      </c>
      <c r="Y13" s="4" t="s">
        <v>48</v>
      </c>
      <c r="Z13" s="4" t="s">
        <v>40</v>
      </c>
      <c r="AA13" s="4" t="s">
        <v>41</v>
      </c>
      <c r="AB13" s="5" t="s">
        <v>122</v>
      </c>
      <c r="AC13">
        <f>COUNTIF(Sheet1!$A$1:$A$50,Firms!A13)</f>
        <v>0</v>
      </c>
    </row>
    <row r="14" spans="1:30" ht="15" customHeight="1" x14ac:dyDescent="0.45">
      <c r="A14" s="6" t="s">
        <v>123</v>
      </c>
      <c r="B14" s="6" t="s">
        <v>29</v>
      </c>
      <c r="C14" s="6"/>
      <c r="D14" s="6"/>
      <c r="E14" s="6" t="s">
        <v>124</v>
      </c>
      <c r="F14" s="6" t="s">
        <v>81</v>
      </c>
      <c r="G14" s="6"/>
      <c r="H14" s="6"/>
      <c r="I14" s="6" t="s">
        <v>125</v>
      </c>
      <c r="J14" s="6" t="s">
        <v>58</v>
      </c>
      <c r="K14" s="6"/>
      <c r="L14" s="6"/>
      <c r="M14" s="6"/>
      <c r="N14" s="6"/>
      <c r="O14" s="6" t="s">
        <v>32</v>
      </c>
      <c r="P14" s="6" t="s">
        <v>88</v>
      </c>
      <c r="Q14" s="6"/>
      <c r="R14" s="6"/>
      <c r="S14" s="6" t="s">
        <v>126</v>
      </c>
      <c r="T14" s="6" t="s">
        <v>127</v>
      </c>
      <c r="U14" s="6" t="s">
        <v>35</v>
      </c>
      <c r="V14" s="6" t="s">
        <v>128</v>
      </c>
      <c r="W14" s="6" t="s">
        <v>129</v>
      </c>
      <c r="X14" s="6" t="s">
        <v>63</v>
      </c>
      <c r="Y14" s="6" t="s">
        <v>39</v>
      </c>
      <c r="Z14" s="6" t="s">
        <v>40</v>
      </c>
      <c r="AA14" s="6" t="s">
        <v>41</v>
      </c>
      <c r="AB14" s="7" t="s">
        <v>130</v>
      </c>
      <c r="AC14">
        <f>COUNTIF(Sheet1!$A$1:$A$50,Firms!A14)</f>
        <v>1</v>
      </c>
      <c r="AD14" t="str">
        <f t="shared" ref="AD14:AD15" si="0">SUBSTITUTE(AB14,"Seeded from CapIQ export. Numeric fields are regex first-pass — c","C")</f>
        <v>Crawler will confirm. capiq_description preserved for AI extraction fallback. | [extractor] PE firm focused on essential, non-discretionary services. Platform target: $2-25M EBITDA; add-ons any size. Buy-and-build strategy with focus on fragmented markets. Three key verticals: B2B Services, Non-Discretionary Consumer Services, Supply Chain &amp; Infrastructure. Recent investments: Bluejack (Dec 2024), CompassMSP (Sept 2024), HighGrove (Nov 2025), Titan Restoration (Mar 2026). HQ location not explicitly stated on pages provided. Tearsheet PDF available: https://www.agellus.com/documents/FG/agellus/about/652199_Agellus_Tearsheet_-_Feb_2026_1.pdf</v>
      </c>
    </row>
    <row r="15" spans="1:30" ht="15" customHeight="1" x14ac:dyDescent="0.45">
      <c r="A15" s="6" t="s">
        <v>131</v>
      </c>
      <c r="B15" s="6" t="s">
        <v>29</v>
      </c>
      <c r="C15" s="6" t="s">
        <v>132</v>
      </c>
      <c r="D15" s="6" t="s">
        <v>133</v>
      </c>
      <c r="E15" s="6" t="s">
        <v>134</v>
      </c>
      <c r="F15" s="6" t="s">
        <v>31</v>
      </c>
      <c r="G15" s="6"/>
      <c r="H15" s="6"/>
      <c r="I15" s="6" t="s">
        <v>135</v>
      </c>
      <c r="J15" s="6" t="s">
        <v>54</v>
      </c>
      <c r="K15" s="6"/>
      <c r="L15" s="6" t="s">
        <v>136</v>
      </c>
      <c r="M15" s="6" t="s">
        <v>137</v>
      </c>
      <c r="N15" s="6" t="s">
        <v>138</v>
      </c>
      <c r="O15" s="6" t="s">
        <v>32</v>
      </c>
      <c r="P15" s="6" t="s">
        <v>139</v>
      </c>
      <c r="Q15" s="6"/>
      <c r="R15" s="6"/>
      <c r="S15" s="6"/>
      <c r="T15" s="6" t="s">
        <v>140</v>
      </c>
      <c r="U15" s="6" t="s">
        <v>35</v>
      </c>
      <c r="V15" s="6" t="s">
        <v>141</v>
      </c>
      <c r="W15" s="6"/>
      <c r="X15" s="6" t="s">
        <v>63</v>
      </c>
      <c r="Y15" s="6" t="s">
        <v>39</v>
      </c>
      <c r="Z15" s="6" t="s">
        <v>40</v>
      </c>
      <c r="AA15" s="6" t="s">
        <v>41</v>
      </c>
      <c r="AB15" s="7" t="s">
        <v>142</v>
      </c>
      <c r="AC15">
        <f>COUNTIF(Sheet1!$A$1:$A$50,Firms!A15)</f>
        <v>1</v>
      </c>
      <c r="AD15" t="str">
        <f t="shared" si="0"/>
        <v>Crawler will confirm. capiq_description preserved for AI extraction fallback. | [extractor] Control-focused PE firm with offices in Cleveland and Dallas. Explicitly targets lower-middle market companies with 3-15mm EBITDA (or &gt;5mm ARR for software). Check sizes 20-60mm hold value. Core criteria: actionable organic growth, recurring revenue, niche leadership, 30%+ gross margins, 15%+ EBITDA margins. North America focus (primarily US). Recent deals through May 2026. PDF overview available at https://aligncp.com/wp-content/uploads/ACP-Firm-Overview.pdf</v>
      </c>
    </row>
    <row r="16" spans="1:30" ht="15" hidden="1" customHeight="1" x14ac:dyDescent="0.45">
      <c r="A16" s="2" t="s">
        <v>143</v>
      </c>
      <c r="B16" s="2" t="s">
        <v>29</v>
      </c>
      <c r="C16" s="2"/>
      <c r="D16" s="2"/>
      <c r="E16" s="2" t="s">
        <v>144</v>
      </c>
      <c r="F16" s="2" t="s">
        <v>31</v>
      </c>
      <c r="G16" s="2"/>
      <c r="H16" s="2"/>
      <c r="I16" s="2"/>
      <c r="J16" s="2"/>
      <c r="K16" s="2"/>
      <c r="L16" s="2"/>
      <c r="M16" s="2"/>
      <c r="N16" s="2"/>
      <c r="O16" s="2" t="s">
        <v>145</v>
      </c>
      <c r="P16" s="2" t="s">
        <v>146</v>
      </c>
      <c r="Q16" s="2"/>
      <c r="R16" s="2"/>
      <c r="S16" s="2"/>
      <c r="T16" s="2" t="s">
        <v>147</v>
      </c>
      <c r="U16" s="2" t="s">
        <v>35</v>
      </c>
      <c r="V16" s="2"/>
      <c r="W16" s="2" t="s">
        <v>148</v>
      </c>
      <c r="X16" s="2" t="s">
        <v>38</v>
      </c>
      <c r="Y16" s="2" t="s">
        <v>39</v>
      </c>
      <c r="Z16" s="2" t="s">
        <v>40</v>
      </c>
      <c r="AA16" s="2" t="s">
        <v>41</v>
      </c>
      <c r="AB16" s="3" t="s">
        <v>149</v>
      </c>
      <c r="AC16">
        <f>COUNTIF(Sheet1!$A$1:$A$50,Firms!A16)</f>
        <v>0</v>
      </c>
    </row>
    <row r="17" spans="1:30" ht="15" hidden="1" customHeight="1" x14ac:dyDescent="0.45">
      <c r="A17" s="2" t="s">
        <v>150</v>
      </c>
      <c r="B17" s="2" t="s">
        <v>29</v>
      </c>
      <c r="C17" s="2" t="s">
        <v>101</v>
      </c>
      <c r="D17" s="2" t="s">
        <v>151</v>
      </c>
      <c r="E17" s="2" t="s">
        <v>152</v>
      </c>
      <c r="F17" s="2" t="s">
        <v>81</v>
      </c>
      <c r="G17" s="2"/>
      <c r="H17" s="2"/>
      <c r="I17" s="2"/>
      <c r="J17" s="2"/>
      <c r="K17" s="2"/>
      <c r="L17" s="2"/>
      <c r="M17" s="2"/>
      <c r="N17" s="2"/>
      <c r="O17" s="2" t="s">
        <v>32</v>
      </c>
      <c r="P17" s="2" t="s">
        <v>153</v>
      </c>
      <c r="Q17" s="2"/>
      <c r="R17" s="2"/>
      <c r="S17" s="2"/>
      <c r="T17" s="2"/>
      <c r="U17" s="2" t="s">
        <v>35</v>
      </c>
      <c r="V17" s="2" t="s">
        <v>154</v>
      </c>
      <c r="W17" s="2"/>
      <c r="X17" s="2" t="s">
        <v>38</v>
      </c>
      <c r="Y17" s="2" t="s">
        <v>39</v>
      </c>
      <c r="Z17" s="2" t="s">
        <v>40</v>
      </c>
      <c r="AA17" s="2" t="s">
        <v>41</v>
      </c>
      <c r="AB17" s="3" t="s">
        <v>155</v>
      </c>
      <c r="AC17">
        <f>COUNTIF(Sheet1!$A$1:$A$50,Firms!A17)</f>
        <v>0</v>
      </c>
    </row>
    <row r="18" spans="1:30" ht="15" hidden="1" customHeight="1" x14ac:dyDescent="0.45">
      <c r="A18" s="2" t="s">
        <v>156</v>
      </c>
      <c r="B18" s="2" t="s">
        <v>29</v>
      </c>
      <c r="C18" s="2"/>
      <c r="D18" s="2"/>
      <c r="E18" s="2" t="s">
        <v>157</v>
      </c>
      <c r="F18" s="2" t="s">
        <v>81</v>
      </c>
      <c r="G18" s="2"/>
      <c r="H18" s="2"/>
      <c r="I18" s="2"/>
      <c r="J18" s="2"/>
      <c r="K18" s="2"/>
      <c r="L18" s="2"/>
      <c r="M18" s="2"/>
      <c r="N18" s="2"/>
      <c r="O18" s="2" t="s">
        <v>32</v>
      </c>
      <c r="P18" s="2" t="s">
        <v>158</v>
      </c>
      <c r="Q18" s="2"/>
      <c r="R18" s="2"/>
      <c r="S18" s="2"/>
      <c r="T18" s="2" t="s">
        <v>159</v>
      </c>
      <c r="U18" s="2" t="s">
        <v>35</v>
      </c>
      <c r="V18" s="2"/>
      <c r="W18" s="2"/>
      <c r="X18" s="2" t="s">
        <v>38</v>
      </c>
      <c r="Y18" s="2" t="s">
        <v>39</v>
      </c>
      <c r="Z18" s="2" t="s">
        <v>40</v>
      </c>
      <c r="AA18" s="2" t="s">
        <v>41</v>
      </c>
      <c r="AB18" s="3" t="s">
        <v>160</v>
      </c>
      <c r="AC18">
        <f>COUNTIF(Sheet1!$A$1:$A$50,Firms!A18)</f>
        <v>0</v>
      </c>
    </row>
    <row r="19" spans="1:30" ht="15" customHeight="1" x14ac:dyDescent="0.45">
      <c r="A19" s="6" t="s">
        <v>161</v>
      </c>
      <c r="B19" s="6" t="s">
        <v>29</v>
      </c>
      <c r="C19" s="6" t="s">
        <v>162</v>
      </c>
      <c r="D19" s="6" t="s">
        <v>163</v>
      </c>
      <c r="E19" s="6" t="s">
        <v>164</v>
      </c>
      <c r="F19" s="6" t="s">
        <v>81</v>
      </c>
      <c r="G19" s="6"/>
      <c r="H19" s="6"/>
      <c r="I19" s="6" t="s">
        <v>165</v>
      </c>
      <c r="J19" s="6" t="s">
        <v>137</v>
      </c>
      <c r="K19" s="6" t="s">
        <v>137</v>
      </c>
      <c r="L19" s="6" t="s">
        <v>166</v>
      </c>
      <c r="M19" s="6" t="s">
        <v>137</v>
      </c>
      <c r="N19" s="6" t="s">
        <v>56</v>
      </c>
      <c r="O19" s="6" t="s">
        <v>32</v>
      </c>
      <c r="P19" s="6" t="s">
        <v>167</v>
      </c>
      <c r="Q19" s="6"/>
      <c r="R19" s="6"/>
      <c r="S19" s="6"/>
      <c r="T19" s="6" t="s">
        <v>168</v>
      </c>
      <c r="U19" s="6" t="s">
        <v>35</v>
      </c>
      <c r="V19" s="6"/>
      <c r="W19" s="6"/>
      <c r="X19" s="6" t="s">
        <v>63</v>
      </c>
      <c r="Y19" s="6" t="s">
        <v>39</v>
      </c>
      <c r="Z19" s="6" t="s">
        <v>40</v>
      </c>
      <c r="AA19" s="6" t="s">
        <v>41</v>
      </c>
      <c r="AB19" s="7" t="s">
        <v>169</v>
      </c>
      <c r="AC19">
        <f>COUNTIF(Sheet1!$A$1:$A$50,Firms!A19)</f>
        <v>1</v>
      </c>
      <c r="AD19" t="str">
        <f t="shared" ref="AD19:AD20" si="1">SUBSTITUTE(AB19,"Seeded from CapIQ export. Numeric fields are regex first-pass — c","C")</f>
        <v>Crawler will confirm. capiq_description preserved for AI extraction fallback. | [extractor] Lower middle-market PE firm focused on critical infrastructure services and industrial end markets. Investment criteria explicitly stated: $4M–$20M target EBITDA, $20M–$175M typical platform enterprise value, $20M–$75M equity investment over life of investment. Conservative leverage approach. Portfolio page references active and realized investments but specific deal details not provided in source pages.</v>
      </c>
    </row>
    <row r="20" spans="1:30" ht="15" customHeight="1" x14ac:dyDescent="0.45">
      <c r="A20" s="6" t="s">
        <v>170</v>
      </c>
      <c r="B20" s="6" t="s">
        <v>29</v>
      </c>
      <c r="C20" s="6" t="s">
        <v>101</v>
      </c>
      <c r="D20" s="6" t="s">
        <v>151</v>
      </c>
      <c r="E20" s="6" t="s">
        <v>171</v>
      </c>
      <c r="F20" s="6" t="s">
        <v>31</v>
      </c>
      <c r="G20" s="6"/>
      <c r="H20" s="6"/>
      <c r="I20" s="6" t="s">
        <v>172</v>
      </c>
      <c r="J20" s="6" t="s">
        <v>173</v>
      </c>
      <c r="K20" s="6"/>
      <c r="L20" s="6" t="s">
        <v>174</v>
      </c>
      <c r="M20" s="6"/>
      <c r="N20" s="6" t="s">
        <v>136</v>
      </c>
      <c r="O20" s="6" t="s">
        <v>32</v>
      </c>
      <c r="P20" s="6" t="s">
        <v>111</v>
      </c>
      <c r="Q20" s="6"/>
      <c r="R20" s="6"/>
      <c r="S20" s="6"/>
      <c r="T20" s="6" t="s">
        <v>175</v>
      </c>
      <c r="U20" s="6" t="s">
        <v>35</v>
      </c>
      <c r="V20" s="6" t="s">
        <v>176</v>
      </c>
      <c r="W20" s="6"/>
      <c r="X20" s="6" t="s">
        <v>63</v>
      </c>
      <c r="Y20" s="6" t="s">
        <v>39</v>
      </c>
      <c r="Z20" s="6" t="s">
        <v>40</v>
      </c>
      <c r="AA20" s="6" t="s">
        <v>41</v>
      </c>
      <c r="AB20" s="7" t="s">
        <v>177</v>
      </c>
      <c r="AC20">
        <f>COUNTIF(Sheet1!$A$1:$A$50,Firms!A20)</f>
        <v>1</v>
      </c>
      <c r="AD20" t="str">
        <f t="shared" si="1"/>
        <v>Crawler will confirm. capiq_description preserved for AI extraction fallback. | [extractor] Control equity PE firm focused on lower middle market industrial businesses. Invests in niche manufacturing, critical industrial services, and specialty distribution. 50%+ ownership required. EBITDA criteria spans unprofitable to $40M. Enterprise value up to $375M. Geography includes US &amp; Canada. Portfolio shows 16 current/exited investments from 2016–2025, demonstrating active deal flow. Most recent investment November 2025. Firm Overview PDF available: https://www.angelesequity.com/s/AEP-Overview-June-2026.pdf — not parsed. Fund details and exact AUM not disclosed on website.</v>
      </c>
    </row>
    <row r="21" spans="1:30" ht="15" hidden="1" customHeight="1" x14ac:dyDescent="0.45">
      <c r="A21" s="6" t="s">
        <v>178</v>
      </c>
      <c r="B21" s="6" t="s">
        <v>29</v>
      </c>
      <c r="C21" s="6"/>
      <c r="D21" s="6"/>
      <c r="E21" s="6" t="s">
        <v>179</v>
      </c>
      <c r="F21" s="6" t="s">
        <v>31</v>
      </c>
      <c r="G21" s="6"/>
      <c r="H21" s="6"/>
      <c r="I21" s="6"/>
      <c r="J21" s="6"/>
      <c r="K21" s="6"/>
      <c r="L21" s="6"/>
      <c r="M21" s="6" t="s">
        <v>70</v>
      </c>
      <c r="N21" s="6" t="s">
        <v>180</v>
      </c>
      <c r="O21" s="6" t="s">
        <v>32</v>
      </c>
      <c r="P21" s="6" t="s">
        <v>181</v>
      </c>
      <c r="Q21" s="6"/>
      <c r="R21" s="6"/>
      <c r="S21" s="6"/>
      <c r="T21" s="6" t="s">
        <v>182</v>
      </c>
      <c r="U21" s="6" t="s">
        <v>35</v>
      </c>
      <c r="V21" s="6"/>
      <c r="W21" s="6"/>
      <c r="X21" s="6" t="s">
        <v>63</v>
      </c>
      <c r="Y21" s="6" t="s">
        <v>39</v>
      </c>
      <c r="Z21" s="6" t="s">
        <v>40</v>
      </c>
      <c r="AA21" s="6" t="s">
        <v>41</v>
      </c>
      <c r="AB21" s="7" t="s">
        <v>183</v>
      </c>
      <c r="AC21">
        <f>COUNTIF(Sheet1!$A$1:$A$50,Firms!A21)</f>
        <v>0</v>
      </c>
    </row>
    <row r="22" spans="1:30" ht="15" customHeight="1" x14ac:dyDescent="0.45">
      <c r="A22" s="2" t="s">
        <v>184</v>
      </c>
      <c r="B22" s="2" t="s">
        <v>29</v>
      </c>
      <c r="C22" s="2"/>
      <c r="D22" s="2"/>
      <c r="E22" s="2" t="s">
        <v>185</v>
      </c>
      <c r="F22" s="2" t="s">
        <v>81</v>
      </c>
      <c r="G22" s="2"/>
      <c r="H22" s="2"/>
      <c r="I22" s="2"/>
      <c r="J22" s="2"/>
      <c r="K22" s="2"/>
      <c r="L22" s="2"/>
      <c r="M22" s="2"/>
      <c r="N22" s="2"/>
      <c r="O22" s="2" t="s">
        <v>32</v>
      </c>
      <c r="P22" s="2" t="s">
        <v>186</v>
      </c>
      <c r="Q22" s="2"/>
      <c r="R22" s="2"/>
      <c r="S22" s="2"/>
      <c r="T22" s="2" t="s">
        <v>187</v>
      </c>
      <c r="U22" s="2" t="s">
        <v>35</v>
      </c>
      <c r="V22" s="2" t="s">
        <v>188</v>
      </c>
      <c r="W22" s="2"/>
      <c r="X22" s="2" t="s">
        <v>38</v>
      </c>
      <c r="Y22" s="2" t="s">
        <v>39</v>
      </c>
      <c r="Z22" s="2" t="s">
        <v>40</v>
      </c>
      <c r="AA22" s="2" t="s">
        <v>41</v>
      </c>
      <c r="AB22" s="3" t="s">
        <v>189</v>
      </c>
      <c r="AC22">
        <f>COUNTIF(Sheet1!$A$1:$A$50,Firms!A22)</f>
        <v>1</v>
      </c>
      <c r="AD22" t="str">
        <f>SUBSTITUTE(AB22,"Seeded from CapIQ export. Numeric fields are regex first-pass — c","C")</f>
        <v>Crawler will confirm. capiq_description preserved for AI extraction fallback. | [extractor] Apollo Global Management (NYSE:APO) is a diversified asset manager with PE-focused Real Assets platform. Content confirms investment activity in Real Estate, Infrastructure (control-oriented acquisitions, corporate carveouts in mid-market North America/Europe), and Energy Transition/Renewable Energy. Recent deal noted: $6.5B commitment to Ørsted's Hornsea 3 (Dec 2025). Case studies show $565M InterPark mortgage (2021) and Project Helix NPL acquisition (2018). HQ city/state and specific AUM not provided in source. Confidence Medium due to lack of explicit fund-level details and investment criteria thresholds.</v>
      </c>
    </row>
    <row r="23" spans="1:30" ht="15" hidden="1" customHeight="1" x14ac:dyDescent="0.45">
      <c r="A23" s="6" t="s">
        <v>190</v>
      </c>
      <c r="B23" s="6" t="s">
        <v>29</v>
      </c>
      <c r="C23" s="6" t="s">
        <v>132</v>
      </c>
      <c r="D23" s="6" t="s">
        <v>133</v>
      </c>
      <c r="E23" s="6" t="s">
        <v>191</v>
      </c>
      <c r="F23" s="6" t="s">
        <v>81</v>
      </c>
      <c r="G23" s="6" t="s">
        <v>192</v>
      </c>
      <c r="H23" s="6" t="s">
        <v>55</v>
      </c>
      <c r="I23" s="6" t="s">
        <v>125</v>
      </c>
      <c r="J23" s="6" t="s">
        <v>192</v>
      </c>
      <c r="K23" s="6"/>
      <c r="L23" s="6"/>
      <c r="M23" s="6" t="s">
        <v>192</v>
      </c>
      <c r="N23" s="6" t="s">
        <v>70</v>
      </c>
      <c r="O23" s="6" t="s">
        <v>193</v>
      </c>
      <c r="P23" s="6" t="s">
        <v>111</v>
      </c>
      <c r="Q23" s="6"/>
      <c r="R23" s="6"/>
      <c r="S23" s="6"/>
      <c r="T23" s="6"/>
      <c r="U23" s="6" t="s">
        <v>35</v>
      </c>
      <c r="V23" s="6"/>
      <c r="W23" s="6"/>
      <c r="X23" s="6" t="s">
        <v>63</v>
      </c>
      <c r="Y23" s="6" t="s">
        <v>39</v>
      </c>
      <c r="Z23" s="6" t="s">
        <v>40</v>
      </c>
      <c r="AA23" s="6" t="s">
        <v>41</v>
      </c>
      <c r="AB23" s="7" t="s">
        <v>194</v>
      </c>
      <c r="AC23">
        <f>COUNTIF(Sheet1!$A$1:$A$50,Firms!A23)</f>
        <v>0</v>
      </c>
    </row>
    <row r="24" spans="1:30" ht="15" hidden="1" customHeight="1" x14ac:dyDescent="0.45">
      <c r="A24" s="4" t="s">
        <v>195</v>
      </c>
      <c r="B24" s="4" t="s">
        <v>44</v>
      </c>
      <c r="C24" s="4"/>
      <c r="D24" s="4"/>
      <c r="E24" s="4" t="s">
        <v>196</v>
      </c>
      <c r="F24" s="4"/>
      <c r="G24" s="4"/>
      <c r="H24" s="4"/>
      <c r="I24" s="4"/>
      <c r="J24" s="4"/>
      <c r="K24" s="4"/>
      <c r="L24" s="4"/>
      <c r="M24" s="4"/>
      <c r="N24" s="4"/>
      <c r="O24" s="4"/>
      <c r="P24" s="4" t="s">
        <v>197</v>
      </c>
      <c r="Q24" s="4"/>
      <c r="R24" s="4"/>
      <c r="S24" s="4"/>
      <c r="T24" s="4"/>
      <c r="U24" s="4" t="s">
        <v>35</v>
      </c>
      <c r="V24" s="4"/>
      <c r="W24" s="4"/>
      <c r="X24" s="4" t="s">
        <v>47</v>
      </c>
      <c r="Y24" s="4" t="s">
        <v>48</v>
      </c>
      <c r="Z24" s="4" t="s">
        <v>40</v>
      </c>
      <c r="AA24" s="4" t="s">
        <v>41</v>
      </c>
      <c r="AB24" s="5" t="s">
        <v>198</v>
      </c>
      <c r="AC24">
        <f>COUNTIF(Sheet1!$A$1:$A$50,Firms!A24)</f>
        <v>0</v>
      </c>
    </row>
    <row r="25" spans="1:30" ht="15" hidden="1" customHeight="1" x14ac:dyDescent="0.45">
      <c r="A25" s="4" t="s">
        <v>199</v>
      </c>
      <c r="B25" s="4" t="s">
        <v>44</v>
      </c>
      <c r="C25" s="4"/>
      <c r="D25" s="4"/>
      <c r="E25" s="4" t="s">
        <v>200</v>
      </c>
      <c r="F25" s="4"/>
      <c r="G25" s="4"/>
      <c r="H25" s="4"/>
      <c r="I25" s="4"/>
      <c r="J25" s="4"/>
      <c r="K25" s="4"/>
      <c r="L25" s="4"/>
      <c r="M25" s="4"/>
      <c r="N25" s="4"/>
      <c r="O25" s="4"/>
      <c r="P25" s="4" t="s">
        <v>201</v>
      </c>
      <c r="Q25" s="4"/>
      <c r="R25" s="4"/>
      <c r="S25" s="4"/>
      <c r="T25" s="4" t="s">
        <v>202</v>
      </c>
      <c r="U25" s="4" t="s">
        <v>35</v>
      </c>
      <c r="V25" s="4"/>
      <c r="W25" s="4"/>
      <c r="X25" s="4" t="s">
        <v>47</v>
      </c>
      <c r="Y25" s="4" t="s">
        <v>48</v>
      </c>
      <c r="Z25" s="4" t="s">
        <v>40</v>
      </c>
      <c r="AA25" s="4" t="s">
        <v>41</v>
      </c>
      <c r="AB25" s="5" t="s">
        <v>203</v>
      </c>
      <c r="AC25">
        <f>COUNTIF(Sheet1!$A$1:$A$50,Firms!A25)</f>
        <v>0</v>
      </c>
    </row>
    <row r="26" spans="1:30" ht="15" hidden="1" customHeight="1" x14ac:dyDescent="0.45">
      <c r="A26" s="2" t="s">
        <v>204</v>
      </c>
      <c r="B26" s="2" t="s">
        <v>29</v>
      </c>
      <c r="C26" s="2"/>
      <c r="D26" s="2"/>
      <c r="E26" s="2" t="s">
        <v>205</v>
      </c>
      <c r="F26" s="2" t="s">
        <v>31</v>
      </c>
      <c r="G26" s="2"/>
      <c r="H26" s="2"/>
      <c r="I26" s="2"/>
      <c r="J26" s="2"/>
      <c r="K26" s="2"/>
      <c r="L26" s="2"/>
      <c r="M26" s="2"/>
      <c r="N26" s="2"/>
      <c r="O26" s="2" t="s">
        <v>32</v>
      </c>
      <c r="P26" s="2" t="s">
        <v>206</v>
      </c>
      <c r="Q26" s="2"/>
      <c r="R26" s="2"/>
      <c r="S26" s="2"/>
      <c r="T26" s="2"/>
      <c r="U26" s="2" t="s">
        <v>207</v>
      </c>
      <c r="V26" s="2"/>
      <c r="W26" s="2"/>
      <c r="X26" s="2" t="s">
        <v>38</v>
      </c>
      <c r="Y26" s="2" t="s">
        <v>39</v>
      </c>
      <c r="Z26" s="2" t="s">
        <v>40</v>
      </c>
      <c r="AA26" s="2" t="s">
        <v>41</v>
      </c>
      <c r="AB26" s="3" t="s">
        <v>208</v>
      </c>
      <c r="AC26">
        <f>COUNTIF(Sheet1!$A$1:$A$50,Firms!A26)</f>
        <v>0</v>
      </c>
    </row>
    <row r="27" spans="1:30" ht="15" hidden="1" customHeight="1" x14ac:dyDescent="0.45">
      <c r="A27" s="4" t="s">
        <v>209</v>
      </c>
      <c r="B27" s="4" t="s">
        <v>29</v>
      </c>
      <c r="C27" s="4"/>
      <c r="D27" s="4"/>
      <c r="E27" s="4" t="s">
        <v>210</v>
      </c>
      <c r="F27" s="4"/>
      <c r="G27" s="4"/>
      <c r="H27" s="4"/>
      <c r="I27" s="4"/>
      <c r="J27" s="4"/>
      <c r="K27" s="4"/>
      <c r="L27" s="4"/>
      <c r="M27" s="4"/>
      <c r="N27" s="4"/>
      <c r="O27" s="4"/>
      <c r="P27" s="4" t="s">
        <v>158</v>
      </c>
      <c r="Q27" s="4"/>
      <c r="R27" s="4"/>
      <c r="S27" s="4"/>
      <c r="T27" s="4" t="s">
        <v>211</v>
      </c>
      <c r="U27" s="4" t="s">
        <v>35</v>
      </c>
      <c r="V27" s="4"/>
      <c r="W27" s="4"/>
      <c r="X27" s="4" t="s">
        <v>38</v>
      </c>
      <c r="Y27" s="4" t="s">
        <v>48</v>
      </c>
      <c r="Z27" s="4" t="s">
        <v>40</v>
      </c>
      <c r="AA27" s="4" t="s">
        <v>41</v>
      </c>
      <c r="AB27" s="5" t="s">
        <v>212</v>
      </c>
      <c r="AC27">
        <f>COUNTIF(Sheet1!$A$1:$A$50,Firms!A27)</f>
        <v>0</v>
      </c>
    </row>
    <row r="28" spans="1:30" ht="15" hidden="1" customHeight="1" x14ac:dyDescent="0.45">
      <c r="A28" s="2" t="s">
        <v>213</v>
      </c>
      <c r="B28" s="2" t="s">
        <v>29</v>
      </c>
      <c r="C28" s="2"/>
      <c r="D28" s="2"/>
      <c r="E28" s="2" t="s">
        <v>214</v>
      </c>
      <c r="F28" s="2" t="s">
        <v>31</v>
      </c>
      <c r="G28" s="2"/>
      <c r="H28" s="2"/>
      <c r="I28" s="2"/>
      <c r="J28" s="2"/>
      <c r="K28" s="2"/>
      <c r="L28" s="2"/>
      <c r="M28" s="2"/>
      <c r="N28" s="2"/>
      <c r="O28" s="2" t="s">
        <v>32</v>
      </c>
      <c r="P28" s="2" t="s">
        <v>215</v>
      </c>
      <c r="Q28" s="2"/>
      <c r="R28" s="2"/>
      <c r="S28" s="2"/>
      <c r="T28" s="2" t="s">
        <v>216</v>
      </c>
      <c r="U28" s="2" t="s">
        <v>35</v>
      </c>
      <c r="V28" s="2" t="s">
        <v>128</v>
      </c>
      <c r="W28" s="2"/>
      <c r="X28" s="2" t="s">
        <v>38</v>
      </c>
      <c r="Y28" s="2" t="s">
        <v>39</v>
      </c>
      <c r="Z28" s="2" t="s">
        <v>40</v>
      </c>
      <c r="AA28" s="2" t="s">
        <v>41</v>
      </c>
      <c r="AB28" s="3" t="s">
        <v>217</v>
      </c>
      <c r="AC28">
        <f>COUNTIF(Sheet1!$A$1:$A$50,Firms!A28)</f>
        <v>0</v>
      </c>
    </row>
    <row r="29" spans="1:30" ht="15" hidden="1" customHeight="1" x14ac:dyDescent="0.45">
      <c r="A29" s="2" t="s">
        <v>218</v>
      </c>
      <c r="B29" s="2" t="s">
        <v>29</v>
      </c>
      <c r="C29" s="2" t="s">
        <v>219</v>
      </c>
      <c r="D29" s="2" t="s">
        <v>220</v>
      </c>
      <c r="E29" s="2" t="s">
        <v>221</v>
      </c>
      <c r="F29" s="2" t="s">
        <v>81</v>
      </c>
      <c r="G29" s="2"/>
      <c r="H29" s="2"/>
      <c r="I29" s="2"/>
      <c r="J29" s="2"/>
      <c r="K29" s="2"/>
      <c r="L29" s="2"/>
      <c r="M29" s="2"/>
      <c r="N29" s="2"/>
      <c r="O29" s="2" t="s">
        <v>32</v>
      </c>
      <c r="P29" s="2" t="s">
        <v>222</v>
      </c>
      <c r="Q29" s="2"/>
      <c r="R29" s="2"/>
      <c r="S29" s="2"/>
      <c r="T29" s="2"/>
      <c r="U29" s="2" t="s">
        <v>35</v>
      </c>
      <c r="V29" s="2"/>
      <c r="W29" s="2"/>
      <c r="X29" s="2" t="s">
        <v>38</v>
      </c>
      <c r="Y29" s="2" t="s">
        <v>39</v>
      </c>
      <c r="Z29" s="2" t="s">
        <v>40</v>
      </c>
      <c r="AA29" s="2" t="s">
        <v>41</v>
      </c>
      <c r="AB29" s="3" t="s">
        <v>223</v>
      </c>
      <c r="AC29">
        <f>COUNTIF(Sheet1!$A$1:$A$50,Firms!A29)</f>
        <v>0</v>
      </c>
    </row>
    <row r="30" spans="1:30" ht="15" hidden="1" customHeight="1" x14ac:dyDescent="0.45">
      <c r="A30" s="4" t="s">
        <v>224</v>
      </c>
      <c r="B30" s="4" t="s">
        <v>29</v>
      </c>
      <c r="C30" s="4"/>
      <c r="D30" s="4"/>
      <c r="E30" s="4" t="s">
        <v>225</v>
      </c>
      <c r="F30" s="4"/>
      <c r="G30" s="4"/>
      <c r="H30" s="4"/>
      <c r="I30" s="4"/>
      <c r="J30" s="4"/>
      <c r="K30" s="4"/>
      <c r="L30" s="4"/>
      <c r="M30" s="4"/>
      <c r="N30" s="4"/>
      <c r="O30" s="4" t="s">
        <v>32</v>
      </c>
      <c r="P30" s="4" t="s">
        <v>226</v>
      </c>
      <c r="Q30" s="4"/>
      <c r="R30" s="4"/>
      <c r="S30" s="4"/>
      <c r="T30" s="4" t="s">
        <v>227</v>
      </c>
      <c r="U30" s="4" t="s">
        <v>35</v>
      </c>
      <c r="V30" s="4"/>
      <c r="W30" s="4"/>
      <c r="X30" s="4" t="s">
        <v>38</v>
      </c>
      <c r="Y30" s="4" t="s">
        <v>48</v>
      </c>
      <c r="Z30" s="4" t="s">
        <v>40</v>
      </c>
      <c r="AA30" s="4" t="s">
        <v>41</v>
      </c>
      <c r="AB30" s="5" t="s">
        <v>228</v>
      </c>
      <c r="AC30">
        <f>COUNTIF(Sheet1!$A$1:$A$50,Firms!A30)</f>
        <v>0</v>
      </c>
    </row>
    <row r="31" spans="1:30" ht="15" hidden="1" customHeight="1" x14ac:dyDescent="0.45">
      <c r="A31" s="4" t="s">
        <v>229</v>
      </c>
      <c r="B31" s="4" t="s">
        <v>29</v>
      </c>
      <c r="C31" s="4"/>
      <c r="D31" s="4"/>
      <c r="E31" s="4" t="s">
        <v>230</v>
      </c>
      <c r="F31" s="4"/>
      <c r="G31" s="4"/>
      <c r="H31" s="4"/>
      <c r="I31" s="4"/>
      <c r="J31" s="4"/>
      <c r="K31" s="4"/>
      <c r="L31" s="4"/>
      <c r="M31" s="4"/>
      <c r="N31" s="4"/>
      <c r="O31" s="4"/>
      <c r="P31" s="4" t="s">
        <v>158</v>
      </c>
      <c r="Q31" s="4"/>
      <c r="R31" s="4"/>
      <c r="S31" s="4"/>
      <c r="T31" s="4" t="s">
        <v>231</v>
      </c>
      <c r="U31" s="4" t="s">
        <v>35</v>
      </c>
      <c r="V31" s="4"/>
      <c r="W31" s="4"/>
      <c r="X31" s="4" t="s">
        <v>47</v>
      </c>
      <c r="Y31" s="4" t="s">
        <v>48</v>
      </c>
      <c r="Z31" s="4" t="s">
        <v>40</v>
      </c>
      <c r="AA31" s="4" t="s">
        <v>41</v>
      </c>
      <c r="AB31" s="5" t="s">
        <v>232</v>
      </c>
      <c r="AC31">
        <f>COUNTIF(Sheet1!$A$1:$A$50,Firms!A31)</f>
        <v>0</v>
      </c>
    </row>
    <row r="32" spans="1:30" ht="15" hidden="1" customHeight="1" x14ac:dyDescent="0.45">
      <c r="A32" s="2" t="s">
        <v>233</v>
      </c>
      <c r="B32" s="2" t="s">
        <v>29</v>
      </c>
      <c r="C32" s="2" t="s">
        <v>234</v>
      </c>
      <c r="D32" s="2" t="s">
        <v>235</v>
      </c>
      <c r="E32" s="2" t="s">
        <v>236</v>
      </c>
      <c r="F32" s="2" t="s">
        <v>81</v>
      </c>
      <c r="G32" s="2"/>
      <c r="H32" s="2"/>
      <c r="I32" s="2"/>
      <c r="J32" s="2"/>
      <c r="K32" s="2"/>
      <c r="L32" s="2"/>
      <c r="M32" s="2"/>
      <c r="N32" s="2"/>
      <c r="O32" s="2" t="s">
        <v>32</v>
      </c>
      <c r="P32" s="2" t="s">
        <v>83</v>
      </c>
      <c r="Q32" s="2"/>
      <c r="R32" s="2"/>
      <c r="S32" s="2"/>
      <c r="T32" s="2"/>
      <c r="U32" s="2" t="s">
        <v>35</v>
      </c>
      <c r="V32" s="2"/>
      <c r="W32" s="2"/>
      <c r="X32" s="2" t="s">
        <v>38</v>
      </c>
      <c r="Y32" s="2" t="s">
        <v>39</v>
      </c>
      <c r="Z32" s="2" t="s">
        <v>40</v>
      </c>
      <c r="AA32" s="2" t="s">
        <v>41</v>
      </c>
      <c r="AB32" s="3" t="s">
        <v>237</v>
      </c>
      <c r="AC32">
        <f>COUNTIF(Sheet1!$A$1:$A$50,Firms!A32)</f>
        <v>0</v>
      </c>
    </row>
    <row r="33" spans="1:30" ht="15" hidden="1" customHeight="1" x14ac:dyDescent="0.45">
      <c r="A33" s="6" t="s">
        <v>238</v>
      </c>
      <c r="B33" s="6" t="s">
        <v>239</v>
      </c>
      <c r="C33" s="6"/>
      <c r="D33" s="6"/>
      <c r="E33" s="6" t="s">
        <v>240</v>
      </c>
      <c r="F33" s="6" t="s">
        <v>81</v>
      </c>
      <c r="G33" s="6" t="s">
        <v>192</v>
      </c>
      <c r="H33" s="6" t="s">
        <v>70</v>
      </c>
      <c r="I33" s="6"/>
      <c r="J33" s="6"/>
      <c r="K33" s="6"/>
      <c r="L33" s="6"/>
      <c r="M33" s="6"/>
      <c r="N33" s="6"/>
      <c r="O33" s="6" t="s">
        <v>32</v>
      </c>
      <c r="P33" s="6" t="s">
        <v>241</v>
      </c>
      <c r="Q33" s="6"/>
      <c r="R33" s="6"/>
      <c r="S33" s="6"/>
      <c r="T33" s="6"/>
      <c r="U33" s="6"/>
      <c r="V33" s="6"/>
      <c r="W33" s="6"/>
      <c r="X33" s="6" t="s">
        <v>63</v>
      </c>
      <c r="Y33" s="6" t="s">
        <v>39</v>
      </c>
      <c r="Z33" s="6" t="s">
        <v>40</v>
      </c>
      <c r="AA33" s="6" t="s">
        <v>41</v>
      </c>
      <c r="AB33" s="7" t="s">
        <v>242</v>
      </c>
      <c r="AC33">
        <f>COUNTIF(Sheet1!$A$1:$A$50,Firms!A33)</f>
        <v>0</v>
      </c>
    </row>
    <row r="34" spans="1:30" ht="15" hidden="1" customHeight="1" x14ac:dyDescent="0.45">
      <c r="A34" s="2" t="s">
        <v>243</v>
      </c>
      <c r="B34" s="2" t="s">
        <v>29</v>
      </c>
      <c r="C34" s="2"/>
      <c r="D34" s="2"/>
      <c r="E34" s="2" t="s">
        <v>244</v>
      </c>
      <c r="F34" s="2" t="s">
        <v>81</v>
      </c>
      <c r="G34" s="2"/>
      <c r="H34" s="2"/>
      <c r="I34" s="2"/>
      <c r="J34" s="2"/>
      <c r="K34" s="2"/>
      <c r="L34" s="2"/>
      <c r="M34" s="2"/>
      <c r="N34" s="2"/>
      <c r="O34" s="2" t="s">
        <v>193</v>
      </c>
      <c r="P34" s="2" t="s">
        <v>245</v>
      </c>
      <c r="Q34" s="2"/>
      <c r="R34" s="2"/>
      <c r="S34" s="2"/>
      <c r="T34" s="2" t="s">
        <v>246</v>
      </c>
      <c r="U34" s="2" t="s">
        <v>35</v>
      </c>
      <c r="V34" s="2" t="s">
        <v>247</v>
      </c>
      <c r="W34" s="2" t="s">
        <v>248</v>
      </c>
      <c r="X34" s="2" t="s">
        <v>38</v>
      </c>
      <c r="Y34" s="2" t="s">
        <v>39</v>
      </c>
      <c r="Z34" s="2" t="s">
        <v>40</v>
      </c>
      <c r="AA34" s="2" t="s">
        <v>41</v>
      </c>
      <c r="AB34" s="3" t="s">
        <v>249</v>
      </c>
      <c r="AC34">
        <f>COUNTIF(Sheet1!$A$1:$A$50,Firms!A34)</f>
        <v>0</v>
      </c>
    </row>
    <row r="35" spans="1:30" ht="15" hidden="1" customHeight="1" x14ac:dyDescent="0.45">
      <c r="A35" s="2" t="s">
        <v>250</v>
      </c>
      <c r="B35" s="2" t="s">
        <v>29</v>
      </c>
      <c r="C35" s="2"/>
      <c r="D35" s="2"/>
      <c r="E35" s="2" t="s">
        <v>251</v>
      </c>
      <c r="F35" s="2" t="s">
        <v>81</v>
      </c>
      <c r="G35" s="2"/>
      <c r="H35" s="2"/>
      <c r="I35" s="2"/>
      <c r="J35" s="2"/>
      <c r="K35" s="2"/>
      <c r="L35" s="2"/>
      <c r="M35" s="2"/>
      <c r="N35" s="2"/>
      <c r="O35" s="2" t="s">
        <v>252</v>
      </c>
      <c r="P35" s="2" t="s">
        <v>253</v>
      </c>
      <c r="Q35" s="2"/>
      <c r="R35" s="2"/>
      <c r="S35" s="2"/>
      <c r="T35" s="2" t="s">
        <v>254</v>
      </c>
      <c r="U35" s="2" t="s">
        <v>35</v>
      </c>
      <c r="V35" s="2"/>
      <c r="W35" s="2"/>
      <c r="X35" s="2" t="s">
        <v>38</v>
      </c>
      <c r="Y35" s="2" t="s">
        <v>39</v>
      </c>
      <c r="Z35" s="2" t="s">
        <v>40</v>
      </c>
      <c r="AA35" s="2" t="s">
        <v>41</v>
      </c>
      <c r="AB35" s="3" t="s">
        <v>255</v>
      </c>
      <c r="AC35">
        <f>COUNTIF(Sheet1!$A$1:$A$50,Firms!A35)</f>
        <v>0</v>
      </c>
    </row>
    <row r="36" spans="1:30" ht="15" customHeight="1" x14ac:dyDescent="0.45">
      <c r="A36" s="6" t="s">
        <v>256</v>
      </c>
      <c r="B36" s="6" t="s">
        <v>29</v>
      </c>
      <c r="C36" s="6"/>
      <c r="D36" s="6"/>
      <c r="E36" s="6" t="s">
        <v>257</v>
      </c>
      <c r="F36" s="6" t="s">
        <v>31</v>
      </c>
      <c r="G36" s="6"/>
      <c r="H36" s="6"/>
      <c r="I36" s="6" t="s">
        <v>69</v>
      </c>
      <c r="J36" s="6" t="s">
        <v>55</v>
      </c>
      <c r="K36" s="6"/>
      <c r="L36" s="6" t="s">
        <v>258</v>
      </c>
      <c r="M36" s="6"/>
      <c r="N36" s="6"/>
      <c r="O36" s="6" t="s">
        <v>32</v>
      </c>
      <c r="P36" s="6" t="s">
        <v>259</v>
      </c>
      <c r="Q36" s="6" t="s">
        <v>260</v>
      </c>
      <c r="R36" s="6"/>
      <c r="S36" s="6"/>
      <c r="T36" s="6" t="s">
        <v>261</v>
      </c>
      <c r="U36" s="6" t="s">
        <v>35</v>
      </c>
      <c r="V36" s="6"/>
      <c r="W36" s="6"/>
      <c r="X36" s="6" t="s">
        <v>63</v>
      </c>
      <c r="Y36" s="6" t="s">
        <v>39</v>
      </c>
      <c r="Z36" s="6" t="s">
        <v>40</v>
      </c>
      <c r="AA36" s="6" t="s">
        <v>41</v>
      </c>
      <c r="AB36" s="7" t="s">
        <v>262</v>
      </c>
      <c r="AC36">
        <f>COUNTIF(Sheet1!$A$1:$A$50,Firms!A36)</f>
        <v>1</v>
      </c>
      <c r="AD36" t="str">
        <f>SUBSTITUTE(AB36,"Seeded from CapIQ export. Numeric fields are regex first-pass — c","C")</f>
        <v>Crawler will confirm. capiq_description preserved for AI extraction fallback. | [extractor] Audax Private Equity firm with Flagship and Origins strategies. Buy &amp; Build approach targeting lower middle market. EBITDA range $5M-$100M, Enterprise Values up to $1B. Portfolio includes US/Canada HQ with operations across five continents. Sectors: Business Services, Consumer, Financial Services, Healthcare, Industrial Services &amp; Technologies, Software &amp; Technology. PDF fact sheet available but binary content not fully parsed.</v>
      </c>
    </row>
    <row r="37" spans="1:30" ht="15" hidden="1" customHeight="1" x14ac:dyDescent="0.45">
      <c r="A37" s="4" t="s">
        <v>263</v>
      </c>
      <c r="B37" s="4" t="s">
        <v>44</v>
      </c>
      <c r="C37" s="4"/>
      <c r="D37" s="4"/>
      <c r="E37" s="4" t="s">
        <v>264</v>
      </c>
      <c r="F37" s="4"/>
      <c r="G37" s="4"/>
      <c r="H37" s="4"/>
      <c r="I37" s="4"/>
      <c r="J37" s="4"/>
      <c r="K37" s="4"/>
      <c r="L37" s="4"/>
      <c r="M37" s="4"/>
      <c r="N37" s="4"/>
      <c r="O37" s="4"/>
      <c r="P37" s="4" t="s">
        <v>83</v>
      </c>
      <c r="Q37" s="4"/>
      <c r="R37" s="4"/>
      <c r="S37" s="4"/>
      <c r="T37" s="4" t="s">
        <v>265</v>
      </c>
      <c r="U37" s="4"/>
      <c r="V37" s="4"/>
      <c r="W37" s="4"/>
      <c r="X37" s="4" t="s">
        <v>47</v>
      </c>
      <c r="Y37" s="4" t="s">
        <v>48</v>
      </c>
      <c r="Z37" s="4" t="s">
        <v>40</v>
      </c>
      <c r="AA37" s="4" t="s">
        <v>41</v>
      </c>
      <c r="AB37" s="5" t="s">
        <v>266</v>
      </c>
      <c r="AC37">
        <f>COUNTIF(Sheet1!$A$1:$A$50,Firms!A37)</f>
        <v>0</v>
      </c>
    </row>
    <row r="38" spans="1:30" ht="15" hidden="1" customHeight="1" x14ac:dyDescent="0.45">
      <c r="A38" s="4" t="s">
        <v>267</v>
      </c>
      <c r="B38" s="4" t="s">
        <v>44</v>
      </c>
      <c r="C38" s="4"/>
      <c r="D38" s="4"/>
      <c r="E38" s="4" t="s">
        <v>268</v>
      </c>
      <c r="F38" s="4"/>
      <c r="G38" s="4"/>
      <c r="H38" s="4"/>
      <c r="I38" s="4"/>
      <c r="J38" s="4"/>
      <c r="K38" s="4"/>
      <c r="L38" s="4"/>
      <c r="M38" s="4"/>
      <c r="N38" s="4"/>
      <c r="O38" s="4"/>
      <c r="P38" s="4" t="s">
        <v>269</v>
      </c>
      <c r="Q38" s="4"/>
      <c r="R38" s="4"/>
      <c r="S38" s="4"/>
      <c r="T38" s="4" t="s">
        <v>147</v>
      </c>
      <c r="U38" s="4" t="s">
        <v>35</v>
      </c>
      <c r="V38" s="4"/>
      <c r="W38" s="4"/>
      <c r="X38" s="4" t="s">
        <v>47</v>
      </c>
      <c r="Y38" s="4" t="s">
        <v>48</v>
      </c>
      <c r="Z38" s="4" t="s">
        <v>40</v>
      </c>
      <c r="AA38" s="4" t="s">
        <v>41</v>
      </c>
      <c r="AB38" s="5" t="s">
        <v>270</v>
      </c>
      <c r="AC38">
        <f>COUNTIF(Sheet1!$A$1:$A$50,Firms!A38)</f>
        <v>0</v>
      </c>
    </row>
    <row r="39" spans="1:30" ht="15" customHeight="1" x14ac:dyDescent="0.45">
      <c r="A39" s="6" t="s">
        <v>271</v>
      </c>
      <c r="B39" s="6" t="s">
        <v>29</v>
      </c>
      <c r="C39" s="6" t="s">
        <v>272</v>
      </c>
      <c r="D39" s="6" t="s">
        <v>273</v>
      </c>
      <c r="E39" s="6" t="s">
        <v>274</v>
      </c>
      <c r="F39" s="6" t="s">
        <v>31</v>
      </c>
      <c r="G39" s="6"/>
      <c r="H39" s="6"/>
      <c r="I39" s="6" t="s">
        <v>125</v>
      </c>
      <c r="J39" s="6" t="s">
        <v>137</v>
      </c>
      <c r="K39" s="6"/>
      <c r="L39" s="6"/>
      <c r="M39" s="6" t="s">
        <v>69</v>
      </c>
      <c r="N39" s="6" t="s">
        <v>110</v>
      </c>
      <c r="O39" s="6" t="s">
        <v>32</v>
      </c>
      <c r="P39" s="6" t="s">
        <v>73</v>
      </c>
      <c r="Q39" s="6"/>
      <c r="R39" s="6"/>
      <c r="S39" s="6"/>
      <c r="T39" s="6"/>
      <c r="U39" s="6" t="s">
        <v>35</v>
      </c>
      <c r="V39" s="6"/>
      <c r="W39" s="6"/>
      <c r="X39" s="6" t="s">
        <v>63</v>
      </c>
      <c r="Y39" s="6" t="s">
        <v>39</v>
      </c>
      <c r="Z39" s="6" t="s">
        <v>40</v>
      </c>
      <c r="AA39" s="6" t="s">
        <v>41</v>
      </c>
      <c r="AB39" s="7" t="s">
        <v>275</v>
      </c>
      <c r="AC39">
        <f>COUNTIF(Sheet1!$A$1:$A$50,Firms!A39)</f>
        <v>1</v>
      </c>
      <c r="AD39" t="str">
        <f t="shared" ref="AD39:AD40" si="2">SUBSTITUTE(AB39,"Seeded from CapIQ export. Numeric fields are regex first-pass — c","C")</f>
        <v>Crawler will confirm. capiq_description preserved for AI extraction fallback. | [extractor] Equity Investment check size $5M-$30M+, EBITDA $2M-$20M confirmed. Invests in US and Canada-based businesses with sustainable competitive advantages and recurring revenue. Focus on family and founder-led businesses with long-term growth prospects. Buy-and-build strategy employed. No fund-specific details, AUM, or recent deal dates found on provided pages.</v>
      </c>
    </row>
    <row r="40" spans="1:30" ht="15" customHeight="1" x14ac:dyDescent="0.45">
      <c r="A40" s="6" t="s">
        <v>276</v>
      </c>
      <c r="B40" s="6" t="s">
        <v>29</v>
      </c>
      <c r="C40" s="6"/>
      <c r="D40" s="6" t="s">
        <v>277</v>
      </c>
      <c r="E40" s="6" t="s">
        <v>278</v>
      </c>
      <c r="F40" s="6" t="s">
        <v>31</v>
      </c>
      <c r="G40" s="6" t="s">
        <v>54</v>
      </c>
      <c r="H40" s="6" t="s">
        <v>59</v>
      </c>
      <c r="I40" s="6" t="s">
        <v>135</v>
      </c>
      <c r="J40" s="6"/>
      <c r="K40" s="6" t="s">
        <v>54</v>
      </c>
      <c r="L40" s="6" t="s">
        <v>136</v>
      </c>
      <c r="M40" s="6" t="s">
        <v>192</v>
      </c>
      <c r="N40" s="6" t="s">
        <v>70</v>
      </c>
      <c r="O40" s="6" t="s">
        <v>32</v>
      </c>
      <c r="P40" s="6" t="s">
        <v>279</v>
      </c>
      <c r="Q40" s="6"/>
      <c r="R40" s="6"/>
      <c r="S40" s="6"/>
      <c r="T40" s="6"/>
      <c r="U40" s="6" t="s">
        <v>35</v>
      </c>
      <c r="V40" s="6"/>
      <c r="W40" s="6"/>
      <c r="X40" s="6" t="s">
        <v>63</v>
      </c>
      <c r="Y40" s="6" t="s">
        <v>39</v>
      </c>
      <c r="Z40" s="6" t="s">
        <v>40</v>
      </c>
      <c r="AA40" s="6" t="s">
        <v>41</v>
      </c>
      <c r="AB40" s="7" t="s">
        <v>280</v>
      </c>
      <c r="AC40">
        <f>COUNTIF(Sheet1!$A$1:$A$50,Firms!A40)</f>
        <v>1</v>
      </c>
      <c r="AD40" t="str">
        <f t="shared" si="2"/>
        <v>Crawler will confirm. capiq_description preserved for AI extraction fallback. | [extractor] Avem Partners is a PE firm exclusively focused on aerospace/defense lower middle market companies in North America. Founded 2017. Investment criteria explicitly stated: $10-50M check size, $15-150M EV, $15-200M revenue, $3M+ EBITDA. Deal structure involves majority control, limited leverage. HQ stated as 'Southern California' but specific city/state not provided. Multiple realized investments listed (Spencer Aerospace, Synchronous Aerospace Group, Advent Aerospace, Aero Pacific, Drilltec, Resco, Alloy Processing); no unrealized investment details visible on provided pages.</v>
      </c>
    </row>
    <row r="41" spans="1:30" ht="15" hidden="1" customHeight="1" x14ac:dyDescent="0.45">
      <c r="A41" s="4" t="s">
        <v>281</v>
      </c>
      <c r="B41" s="4" t="s">
        <v>44</v>
      </c>
      <c r="C41" s="4"/>
      <c r="D41" s="4"/>
      <c r="E41" s="4" t="s">
        <v>282</v>
      </c>
      <c r="F41" s="4"/>
      <c r="G41" s="4"/>
      <c r="H41" s="4"/>
      <c r="I41" s="4"/>
      <c r="J41" s="4"/>
      <c r="K41" s="4"/>
      <c r="L41" s="4"/>
      <c r="M41" s="4"/>
      <c r="N41" s="4"/>
      <c r="O41" s="4"/>
      <c r="P41" s="4" t="s">
        <v>283</v>
      </c>
      <c r="Q41" s="4"/>
      <c r="R41" s="4"/>
      <c r="S41" s="4"/>
      <c r="T41" s="4" t="s">
        <v>284</v>
      </c>
      <c r="U41" s="4" t="s">
        <v>35</v>
      </c>
      <c r="V41" s="4"/>
      <c r="W41" s="4"/>
      <c r="X41" s="4" t="s">
        <v>47</v>
      </c>
      <c r="Y41" s="4" t="s">
        <v>48</v>
      </c>
      <c r="Z41" s="4" t="s">
        <v>40</v>
      </c>
      <c r="AA41" s="4" t="s">
        <v>41</v>
      </c>
      <c r="AB41" s="5" t="s">
        <v>285</v>
      </c>
      <c r="AC41">
        <f>COUNTIF(Sheet1!$A$1:$A$50,Firms!A41)</f>
        <v>0</v>
      </c>
    </row>
    <row r="42" spans="1:30" ht="15" hidden="1" customHeight="1" x14ac:dyDescent="0.45">
      <c r="A42" s="4" t="s">
        <v>286</v>
      </c>
      <c r="B42" s="4" t="s">
        <v>29</v>
      </c>
      <c r="C42" s="4"/>
      <c r="D42" s="4"/>
      <c r="E42" s="4" t="s">
        <v>287</v>
      </c>
      <c r="F42" s="4"/>
      <c r="G42" s="4"/>
      <c r="H42" s="4"/>
      <c r="I42" s="4"/>
      <c r="J42" s="4"/>
      <c r="K42" s="4"/>
      <c r="L42" s="4"/>
      <c r="M42" s="4"/>
      <c r="N42" s="4"/>
      <c r="O42" s="4"/>
      <c r="P42" s="4" t="s">
        <v>158</v>
      </c>
      <c r="Q42" s="4"/>
      <c r="R42" s="4"/>
      <c r="S42" s="4"/>
      <c r="T42" s="4" t="s">
        <v>288</v>
      </c>
      <c r="U42" s="4" t="s">
        <v>35</v>
      </c>
      <c r="V42" s="4"/>
      <c r="W42" s="4"/>
      <c r="X42" s="4" t="s">
        <v>47</v>
      </c>
      <c r="Y42" s="4" t="s">
        <v>48</v>
      </c>
      <c r="Z42" s="4" t="s">
        <v>40</v>
      </c>
      <c r="AA42" s="4" t="s">
        <v>41</v>
      </c>
      <c r="AB42" s="5" t="s">
        <v>289</v>
      </c>
      <c r="AC42">
        <f>COUNTIF(Sheet1!$A$1:$A$50,Firms!A42)</f>
        <v>0</v>
      </c>
    </row>
    <row r="43" spans="1:30" ht="15" hidden="1" customHeight="1" x14ac:dyDescent="0.45">
      <c r="A43" s="2" t="s">
        <v>290</v>
      </c>
      <c r="B43" s="2" t="s">
        <v>291</v>
      </c>
      <c r="C43" s="2"/>
      <c r="D43" s="2" t="s">
        <v>292</v>
      </c>
      <c r="E43" s="2" t="s">
        <v>293</v>
      </c>
      <c r="F43" s="2" t="s">
        <v>81</v>
      </c>
      <c r="G43" s="2"/>
      <c r="H43" s="2"/>
      <c r="I43" s="2"/>
      <c r="J43" s="2"/>
      <c r="K43" s="2"/>
      <c r="L43" s="2"/>
      <c r="M43" s="2"/>
      <c r="N43" s="2"/>
      <c r="O43" s="2" t="s">
        <v>294</v>
      </c>
      <c r="P43" s="2" t="s">
        <v>295</v>
      </c>
      <c r="Q43" s="2"/>
      <c r="R43" s="2"/>
      <c r="S43" s="2"/>
      <c r="T43" s="2"/>
      <c r="U43" s="2" t="s">
        <v>35</v>
      </c>
      <c r="V43" s="2" t="s">
        <v>296</v>
      </c>
      <c r="W43" s="2"/>
      <c r="X43" s="2" t="s">
        <v>38</v>
      </c>
      <c r="Y43" s="2" t="s">
        <v>39</v>
      </c>
      <c r="Z43" s="2" t="s">
        <v>40</v>
      </c>
      <c r="AA43" s="2" t="s">
        <v>41</v>
      </c>
      <c r="AB43" s="3" t="s">
        <v>297</v>
      </c>
      <c r="AC43">
        <f>COUNTIF(Sheet1!$A$1:$A$50,Firms!A43)</f>
        <v>0</v>
      </c>
    </row>
    <row r="44" spans="1:30" ht="15" hidden="1" customHeight="1" x14ac:dyDescent="0.45">
      <c r="A44" s="4" t="s">
        <v>298</v>
      </c>
      <c r="B44" s="4" t="s">
        <v>44</v>
      </c>
      <c r="C44" s="4"/>
      <c r="D44" s="4"/>
      <c r="E44" s="4" t="s">
        <v>299</v>
      </c>
      <c r="F44" s="4"/>
      <c r="G44" s="4"/>
      <c r="H44" s="4"/>
      <c r="I44" s="4"/>
      <c r="J44" s="4"/>
      <c r="K44" s="4"/>
      <c r="L44" s="4"/>
      <c r="M44" s="4"/>
      <c r="N44" s="4"/>
      <c r="O44" s="4"/>
      <c r="P44" s="4" t="s">
        <v>300</v>
      </c>
      <c r="Q44" s="4"/>
      <c r="R44" s="4"/>
      <c r="S44" s="4"/>
      <c r="T44" s="4"/>
      <c r="U44" s="4" t="s">
        <v>35</v>
      </c>
      <c r="V44" s="4"/>
      <c r="W44" s="4"/>
      <c r="X44" s="4" t="s">
        <v>47</v>
      </c>
      <c r="Y44" s="4" t="s">
        <v>48</v>
      </c>
      <c r="Z44" s="4" t="s">
        <v>40</v>
      </c>
      <c r="AA44" s="4" t="s">
        <v>41</v>
      </c>
      <c r="AB44" s="5" t="s">
        <v>301</v>
      </c>
      <c r="AC44">
        <f>COUNTIF(Sheet1!$A$1:$A$50,Firms!A44)</f>
        <v>0</v>
      </c>
    </row>
    <row r="45" spans="1:30" ht="15" hidden="1" customHeight="1" x14ac:dyDescent="0.45">
      <c r="A45" s="6" t="s">
        <v>302</v>
      </c>
      <c r="B45" s="6" t="s">
        <v>29</v>
      </c>
      <c r="C45" s="6" t="s">
        <v>234</v>
      </c>
      <c r="D45" s="6" t="s">
        <v>235</v>
      </c>
      <c r="E45" s="6" t="s">
        <v>303</v>
      </c>
      <c r="F45" s="6" t="s">
        <v>48</v>
      </c>
      <c r="G45" s="6"/>
      <c r="H45" s="6"/>
      <c r="I45" s="6"/>
      <c r="J45" s="6"/>
      <c r="K45" s="6"/>
      <c r="L45" s="6"/>
      <c r="M45" s="6" t="s">
        <v>70</v>
      </c>
      <c r="N45" s="6" t="s">
        <v>59</v>
      </c>
      <c r="O45" s="6" t="s">
        <v>32</v>
      </c>
      <c r="P45" s="6" t="s">
        <v>73</v>
      </c>
      <c r="Q45" s="6"/>
      <c r="R45" s="6"/>
      <c r="S45" s="6"/>
      <c r="T45" s="6" t="s">
        <v>304</v>
      </c>
      <c r="U45" s="6" t="s">
        <v>35</v>
      </c>
      <c r="V45" s="6"/>
      <c r="W45" s="6" t="s">
        <v>305</v>
      </c>
      <c r="X45" s="6" t="s">
        <v>63</v>
      </c>
      <c r="Y45" s="6" t="s">
        <v>39</v>
      </c>
      <c r="Z45" s="6" t="s">
        <v>40</v>
      </c>
      <c r="AA45" s="6" t="s">
        <v>41</v>
      </c>
      <c r="AB45" s="7" t="s">
        <v>306</v>
      </c>
      <c r="AC45">
        <f>COUNTIF(Sheet1!$A$1:$A$50,Firms!A45)</f>
        <v>0</v>
      </c>
    </row>
    <row r="46" spans="1:30" ht="15" hidden="1" customHeight="1" x14ac:dyDescent="0.45">
      <c r="A46" s="4" t="s">
        <v>307</v>
      </c>
      <c r="B46" s="4" t="s">
        <v>29</v>
      </c>
      <c r="C46" s="4"/>
      <c r="D46" s="4"/>
      <c r="E46" s="4" t="s">
        <v>308</v>
      </c>
      <c r="F46" s="4"/>
      <c r="G46" s="4"/>
      <c r="H46" s="4"/>
      <c r="I46" s="4"/>
      <c r="J46" s="4"/>
      <c r="K46" s="4"/>
      <c r="L46" s="4"/>
      <c r="M46" s="4"/>
      <c r="N46" s="4"/>
      <c r="O46" s="4"/>
      <c r="P46" s="4" t="s">
        <v>309</v>
      </c>
      <c r="Q46" s="4"/>
      <c r="R46" s="4"/>
      <c r="S46" s="4"/>
      <c r="T46" s="4"/>
      <c r="U46" s="4" t="s">
        <v>35</v>
      </c>
      <c r="V46" s="4"/>
      <c r="W46" s="4"/>
      <c r="X46" s="4" t="s">
        <v>47</v>
      </c>
      <c r="Y46" s="4" t="s">
        <v>48</v>
      </c>
      <c r="Z46" s="4" t="s">
        <v>40</v>
      </c>
      <c r="AA46" s="4" t="s">
        <v>41</v>
      </c>
      <c r="AB46" s="5" t="s">
        <v>310</v>
      </c>
      <c r="AC46">
        <f>COUNTIF(Sheet1!$A$1:$A$50,Firms!A46)</f>
        <v>0</v>
      </c>
    </row>
    <row r="47" spans="1:30" ht="15" customHeight="1" x14ac:dyDescent="0.45">
      <c r="A47" s="2" t="s">
        <v>311</v>
      </c>
      <c r="B47" s="2" t="s">
        <v>29</v>
      </c>
      <c r="C47" s="2" t="s">
        <v>234</v>
      </c>
      <c r="D47" s="2" t="s">
        <v>235</v>
      </c>
      <c r="E47" s="2" t="s">
        <v>312</v>
      </c>
      <c r="F47" s="2" t="s">
        <v>81</v>
      </c>
      <c r="G47" s="2"/>
      <c r="H47" s="2"/>
      <c r="I47" s="2"/>
      <c r="J47" s="2"/>
      <c r="K47" s="2"/>
      <c r="L47" s="2"/>
      <c r="M47" s="2"/>
      <c r="N47" s="2"/>
      <c r="O47" s="2" t="s">
        <v>313</v>
      </c>
      <c r="P47" s="2" t="s">
        <v>73</v>
      </c>
      <c r="Q47" s="2"/>
      <c r="R47" s="2"/>
      <c r="S47" s="2"/>
      <c r="T47" s="2" t="s">
        <v>314</v>
      </c>
      <c r="U47" s="2" t="s">
        <v>35</v>
      </c>
      <c r="V47" s="2" t="s">
        <v>40</v>
      </c>
      <c r="W47" s="2"/>
      <c r="X47" s="2" t="s">
        <v>38</v>
      </c>
      <c r="Y47" s="2" t="s">
        <v>39</v>
      </c>
      <c r="Z47" s="2" t="s">
        <v>40</v>
      </c>
      <c r="AA47" s="2" t="s">
        <v>41</v>
      </c>
      <c r="AB47" s="3" t="s">
        <v>315</v>
      </c>
      <c r="AC47">
        <f>COUNTIF(Sheet1!$A$1:$A$50,Firms!A47)</f>
        <v>1</v>
      </c>
      <c r="AD47" t="str">
        <f>SUBSTITUTE(AB47,"Seeded from CapIQ export. Numeric fields are regex first-pass — c","C")</f>
        <v>Crawler will confirm. capiq_description preserved for AI extraction fallback. | [extractor] Bain Capital is a diversified global investment firm with multiple platforms: Private Equity (Global PE, Double Impact, Insurance), Growth &amp; Venture (Ventures, Life Sciences, Tech Opportunities, Crypto), Capital Solutions (Special Situations), Credit, and Real Assets (Real Estate). Founded 1984, headquartered Boston. Recent deal activity confirmed (Asia Fund VI close June 2026, $10.5B raised). AUM figure listed as ~$0B on page (appears to be placeholder). Specific investment criteria, check sizes, and sector preferences not provided on this page. Multi-platform structure suggests Generalist approach. needs_review=true due to incomplete AUM data and lack of specific criteria details.</v>
      </c>
    </row>
    <row r="48" spans="1:30" ht="15" hidden="1" customHeight="1" x14ac:dyDescent="0.45">
      <c r="A48" s="2" t="s">
        <v>316</v>
      </c>
      <c r="B48" s="2" t="s">
        <v>29</v>
      </c>
      <c r="C48" s="2"/>
      <c r="D48" s="2"/>
      <c r="E48" s="2" t="s">
        <v>317</v>
      </c>
      <c r="F48" s="2" t="s">
        <v>81</v>
      </c>
      <c r="G48" s="2"/>
      <c r="H48" s="2"/>
      <c r="I48" s="2"/>
      <c r="J48" s="2"/>
      <c r="K48" s="2"/>
      <c r="L48" s="2"/>
      <c r="M48" s="2"/>
      <c r="N48" s="2"/>
      <c r="O48" s="2" t="s">
        <v>32</v>
      </c>
      <c r="P48" s="2" t="s">
        <v>73</v>
      </c>
      <c r="Q48" s="2"/>
      <c r="R48" s="2"/>
      <c r="S48" s="2"/>
      <c r="T48" s="2" t="s">
        <v>318</v>
      </c>
      <c r="U48" s="2" t="s">
        <v>35</v>
      </c>
      <c r="V48" s="2" t="s">
        <v>319</v>
      </c>
      <c r="W48" s="2"/>
      <c r="X48" s="2" t="s">
        <v>38</v>
      </c>
      <c r="Y48" s="2" t="s">
        <v>39</v>
      </c>
      <c r="Z48" s="2" t="s">
        <v>40</v>
      </c>
      <c r="AA48" s="2" t="s">
        <v>41</v>
      </c>
      <c r="AB48" s="3" t="s">
        <v>320</v>
      </c>
      <c r="AC48">
        <f>COUNTIF(Sheet1!$A$1:$A$50,Firms!A48)</f>
        <v>0</v>
      </c>
    </row>
    <row r="49" spans="1:30" ht="15" customHeight="1" x14ac:dyDescent="0.45">
      <c r="A49" s="6" t="s">
        <v>321</v>
      </c>
      <c r="B49" s="6" t="s">
        <v>29</v>
      </c>
      <c r="C49" s="6" t="s">
        <v>101</v>
      </c>
      <c r="D49" s="6" t="s">
        <v>151</v>
      </c>
      <c r="E49" s="6" t="s">
        <v>322</v>
      </c>
      <c r="F49" s="6" t="s">
        <v>81</v>
      </c>
      <c r="G49" s="6" t="s">
        <v>110</v>
      </c>
      <c r="H49" s="6" t="s">
        <v>323</v>
      </c>
      <c r="I49" s="6"/>
      <c r="J49" s="6"/>
      <c r="K49" s="6"/>
      <c r="L49" s="6"/>
      <c r="M49" s="6" t="s">
        <v>192</v>
      </c>
      <c r="N49" s="6" t="s">
        <v>55</v>
      </c>
      <c r="O49" s="6" t="s">
        <v>72</v>
      </c>
      <c r="P49" s="6" t="s">
        <v>253</v>
      </c>
      <c r="Q49" s="6"/>
      <c r="R49" s="6"/>
      <c r="S49" s="6"/>
      <c r="T49" s="6" t="s">
        <v>324</v>
      </c>
      <c r="U49" s="6" t="s">
        <v>35</v>
      </c>
      <c r="V49" s="6" t="s">
        <v>325</v>
      </c>
      <c r="W49" s="6"/>
      <c r="X49" s="6" t="s">
        <v>63</v>
      </c>
      <c r="Y49" s="6" t="s">
        <v>39</v>
      </c>
      <c r="Z49" s="6" t="s">
        <v>40</v>
      </c>
      <c r="AA49" s="6" t="s">
        <v>41</v>
      </c>
      <c r="AB49" s="7" t="s">
        <v>326</v>
      </c>
      <c r="AC49">
        <f>COUNTIF(Sheet1!$A$1:$A$50,Firms!A49)</f>
        <v>1</v>
      </c>
      <c r="AD49" t="str">
        <f>SUBSTITUTE(AB49,"Seeded from CapIQ export. Numeric fields are regex first-pass — c","C")</f>
        <v>Crawler will confirm. capiq_description preserved for AI extraction fallback. | [extractor] Special situations PE firm focused on control and shared-control investments. Investment criteria explicitly stated on website. Portfolio includes diversified industrial, logistics, and specialty manufacturing companies. Recent deals through December 2025. Fact sheet PDF available at https://www.balmoralfunds.com/wp-content/uploads/Balmoral-Fact-Sheet-03-23-2026.pdf but not parsed. Sectors inferred from portfolio companies (aviation, logistics, modular construction, specialty chemicals). No AUM, fund vintage, or explicit sector exclusions disclosed.</v>
      </c>
    </row>
    <row r="50" spans="1:30" ht="15" hidden="1" customHeight="1" x14ac:dyDescent="0.45">
      <c r="A50" s="4" t="s">
        <v>327</v>
      </c>
      <c r="B50" s="4" t="s">
        <v>29</v>
      </c>
      <c r="C50" s="4"/>
      <c r="D50" s="4"/>
      <c r="E50" s="4" t="s">
        <v>328</v>
      </c>
      <c r="F50" s="4"/>
      <c r="G50" s="4"/>
      <c r="H50" s="4"/>
      <c r="I50" s="4"/>
      <c r="J50" s="4"/>
      <c r="K50" s="4"/>
      <c r="L50" s="4"/>
      <c r="M50" s="4"/>
      <c r="N50" s="4"/>
      <c r="O50" s="4" t="s">
        <v>32</v>
      </c>
      <c r="P50" s="4" t="s">
        <v>105</v>
      </c>
      <c r="Q50" s="4"/>
      <c r="R50" s="4"/>
      <c r="S50" s="4"/>
      <c r="T50" s="4"/>
      <c r="U50" s="4" t="s">
        <v>35</v>
      </c>
      <c r="V50" s="4"/>
      <c r="W50" s="4"/>
      <c r="X50" s="4" t="s">
        <v>38</v>
      </c>
      <c r="Y50" s="4" t="s">
        <v>48</v>
      </c>
      <c r="Z50" s="4" t="s">
        <v>40</v>
      </c>
      <c r="AA50" s="4" t="s">
        <v>41</v>
      </c>
      <c r="AB50" s="5" t="s">
        <v>329</v>
      </c>
      <c r="AC50">
        <f>COUNTIF(Sheet1!$A$1:$A$50,Firms!A50)</f>
        <v>0</v>
      </c>
    </row>
    <row r="51" spans="1:30" ht="15" hidden="1" customHeight="1" x14ac:dyDescent="0.45">
      <c r="A51" s="6" t="s">
        <v>330</v>
      </c>
      <c r="B51" s="6" t="s">
        <v>29</v>
      </c>
      <c r="C51" s="6" t="s">
        <v>331</v>
      </c>
      <c r="D51" s="6" t="s">
        <v>332</v>
      </c>
      <c r="E51" s="6" t="s">
        <v>333</v>
      </c>
      <c r="F51" s="6" t="s">
        <v>81</v>
      </c>
      <c r="G51" s="6"/>
      <c r="H51" s="6"/>
      <c r="I51" s="6"/>
      <c r="J51" s="6"/>
      <c r="K51" s="6"/>
      <c r="L51" s="6"/>
      <c r="M51" s="6" t="s">
        <v>55</v>
      </c>
      <c r="N51" s="6" t="s">
        <v>127</v>
      </c>
      <c r="O51" s="6" t="s">
        <v>32</v>
      </c>
      <c r="P51" s="6" t="s">
        <v>46</v>
      </c>
      <c r="Q51" s="6"/>
      <c r="R51" s="6"/>
      <c r="S51" s="6"/>
      <c r="T51" s="6" t="s">
        <v>334</v>
      </c>
      <c r="U51" s="6" t="s">
        <v>35</v>
      </c>
      <c r="V51" s="6"/>
      <c r="W51" s="6"/>
      <c r="X51" s="6" t="s">
        <v>63</v>
      </c>
      <c r="Y51" s="6" t="s">
        <v>39</v>
      </c>
      <c r="Z51" s="6" t="s">
        <v>40</v>
      </c>
      <c r="AA51" s="6" t="s">
        <v>41</v>
      </c>
      <c r="AB51" s="7" t="s">
        <v>335</v>
      </c>
      <c r="AC51">
        <f>COUNTIF(Sheet1!$A$1:$A$50,Firms!A51)</f>
        <v>0</v>
      </c>
    </row>
    <row r="52" spans="1:30" ht="15" hidden="1" customHeight="1" x14ac:dyDescent="0.45">
      <c r="A52" s="2" t="s">
        <v>336</v>
      </c>
      <c r="B52" s="2" t="s">
        <v>29</v>
      </c>
      <c r="C52" s="2"/>
      <c r="D52" s="2" t="s">
        <v>337</v>
      </c>
      <c r="E52" s="2" t="s">
        <v>338</v>
      </c>
      <c r="F52" s="2" t="s">
        <v>81</v>
      </c>
      <c r="G52" s="2"/>
      <c r="H52" s="2"/>
      <c r="I52" s="2"/>
      <c r="J52" s="2"/>
      <c r="K52" s="2"/>
      <c r="L52" s="2"/>
      <c r="M52" s="2"/>
      <c r="N52" s="2"/>
      <c r="O52" s="2" t="s">
        <v>32</v>
      </c>
      <c r="P52" s="2" t="s">
        <v>339</v>
      </c>
      <c r="Q52" s="2"/>
      <c r="R52" s="2"/>
      <c r="S52" s="2"/>
      <c r="T52" s="2" t="s">
        <v>159</v>
      </c>
      <c r="U52" s="2" t="s">
        <v>35</v>
      </c>
      <c r="V52" s="2"/>
      <c r="W52" s="2"/>
      <c r="X52" s="2" t="s">
        <v>38</v>
      </c>
      <c r="Y52" s="2" t="s">
        <v>39</v>
      </c>
      <c r="Z52" s="2" t="s">
        <v>40</v>
      </c>
      <c r="AA52" s="2" t="s">
        <v>41</v>
      </c>
      <c r="AB52" s="3" t="s">
        <v>340</v>
      </c>
      <c r="AC52">
        <f>COUNTIF(Sheet1!$A$1:$A$50,Firms!A52)</f>
        <v>0</v>
      </c>
    </row>
    <row r="53" spans="1:30" ht="15" hidden="1" customHeight="1" x14ac:dyDescent="0.45">
      <c r="A53" s="6" t="s">
        <v>341</v>
      </c>
      <c r="B53" s="6" t="s">
        <v>29</v>
      </c>
      <c r="C53" s="6" t="s">
        <v>234</v>
      </c>
      <c r="D53" s="6" t="s">
        <v>235</v>
      </c>
      <c r="E53" s="6" t="s">
        <v>342</v>
      </c>
      <c r="F53" s="6" t="s">
        <v>31</v>
      </c>
      <c r="G53" s="6"/>
      <c r="H53" s="6"/>
      <c r="I53" s="6"/>
      <c r="J53" s="6"/>
      <c r="K53" s="6"/>
      <c r="L53" s="6"/>
      <c r="M53" s="6" t="s">
        <v>58</v>
      </c>
      <c r="N53" s="6" t="s">
        <v>136</v>
      </c>
      <c r="O53" s="6" t="s">
        <v>82</v>
      </c>
      <c r="P53" s="6" t="s">
        <v>139</v>
      </c>
      <c r="Q53" s="6" t="s">
        <v>343</v>
      </c>
      <c r="R53" s="6" t="s">
        <v>344</v>
      </c>
      <c r="S53" s="6"/>
      <c r="T53" s="6" t="s">
        <v>345</v>
      </c>
      <c r="U53" s="6" t="s">
        <v>35</v>
      </c>
      <c r="V53" s="6" t="s">
        <v>346</v>
      </c>
      <c r="W53" s="6"/>
      <c r="X53" s="6" t="s">
        <v>63</v>
      </c>
      <c r="Y53" s="6" t="s">
        <v>39</v>
      </c>
      <c r="Z53" s="6" t="s">
        <v>40</v>
      </c>
      <c r="AA53" s="6" t="s">
        <v>41</v>
      </c>
      <c r="AB53" s="7" t="s">
        <v>347</v>
      </c>
      <c r="AC53">
        <f>COUNTIF(Sheet1!$A$1:$A$50,Firms!A53)</f>
        <v>0</v>
      </c>
    </row>
    <row r="54" spans="1:30" ht="15" hidden="1" customHeight="1" x14ac:dyDescent="0.45">
      <c r="A54" s="2" t="s">
        <v>348</v>
      </c>
      <c r="B54" s="2" t="s">
        <v>29</v>
      </c>
      <c r="C54" s="2" t="s">
        <v>349</v>
      </c>
      <c r="D54" s="2" t="s">
        <v>235</v>
      </c>
      <c r="E54" s="2" t="s">
        <v>350</v>
      </c>
      <c r="F54" s="2" t="s">
        <v>81</v>
      </c>
      <c r="G54" s="2"/>
      <c r="H54" s="2"/>
      <c r="I54" s="2"/>
      <c r="J54" s="2"/>
      <c r="K54" s="2"/>
      <c r="L54" s="2"/>
      <c r="M54" s="2"/>
      <c r="N54" s="2"/>
      <c r="O54" s="2" t="s">
        <v>32</v>
      </c>
      <c r="P54" s="2" t="s">
        <v>351</v>
      </c>
      <c r="Q54" s="2"/>
      <c r="R54" s="2"/>
      <c r="S54" s="2"/>
      <c r="T54" s="2" t="s">
        <v>352</v>
      </c>
      <c r="U54" s="2" t="s">
        <v>35</v>
      </c>
      <c r="V54" s="2" t="s">
        <v>247</v>
      </c>
      <c r="W54" s="2"/>
      <c r="X54" s="2" t="s">
        <v>38</v>
      </c>
      <c r="Y54" s="2" t="s">
        <v>39</v>
      </c>
      <c r="Z54" s="2" t="s">
        <v>40</v>
      </c>
      <c r="AA54" s="2" t="s">
        <v>41</v>
      </c>
      <c r="AB54" s="3" t="s">
        <v>353</v>
      </c>
      <c r="AC54">
        <f>COUNTIF(Sheet1!$A$1:$A$50,Firms!A54)</f>
        <v>0</v>
      </c>
    </row>
    <row r="55" spans="1:30" ht="15" hidden="1" customHeight="1" x14ac:dyDescent="0.45">
      <c r="A55" s="4" t="s">
        <v>354</v>
      </c>
      <c r="B55" s="4" t="s">
        <v>29</v>
      </c>
      <c r="C55" s="4"/>
      <c r="D55" s="4"/>
      <c r="E55" s="4" t="s">
        <v>355</v>
      </c>
      <c r="F55" s="4"/>
      <c r="G55" s="4"/>
      <c r="H55" s="4"/>
      <c r="I55" s="4"/>
      <c r="J55" s="4"/>
      <c r="K55" s="4"/>
      <c r="L55" s="4"/>
      <c r="M55" s="4"/>
      <c r="N55" s="4"/>
      <c r="O55" s="4"/>
      <c r="P55" s="4" t="s">
        <v>356</v>
      </c>
      <c r="Q55" s="4"/>
      <c r="R55" s="4"/>
      <c r="S55" s="4"/>
      <c r="T55" s="4" t="s">
        <v>357</v>
      </c>
      <c r="U55" s="4" t="s">
        <v>35</v>
      </c>
      <c r="V55" s="4"/>
      <c r="W55" s="4"/>
      <c r="X55" s="4" t="s">
        <v>47</v>
      </c>
      <c r="Y55" s="4" t="s">
        <v>48</v>
      </c>
      <c r="Z55" s="4" t="s">
        <v>40</v>
      </c>
      <c r="AA55" s="4" t="s">
        <v>41</v>
      </c>
      <c r="AB55" s="5" t="s">
        <v>358</v>
      </c>
      <c r="AC55">
        <f>COUNTIF(Sheet1!$A$1:$A$50,Firms!A55)</f>
        <v>0</v>
      </c>
    </row>
    <row r="56" spans="1:30" ht="15" hidden="1" customHeight="1" x14ac:dyDescent="0.45">
      <c r="A56" s="2" t="s">
        <v>359</v>
      </c>
      <c r="B56" s="2" t="s">
        <v>29</v>
      </c>
      <c r="C56" s="2" t="s">
        <v>331</v>
      </c>
      <c r="D56" s="2" t="s">
        <v>332</v>
      </c>
      <c r="E56" s="2" t="s">
        <v>360</v>
      </c>
      <c r="F56" s="2" t="s">
        <v>81</v>
      </c>
      <c r="G56" s="2"/>
      <c r="H56" s="2"/>
      <c r="I56" s="2"/>
      <c r="J56" s="2"/>
      <c r="K56" s="2"/>
      <c r="L56" s="2"/>
      <c r="M56" s="2"/>
      <c r="N56" s="2"/>
      <c r="O56" s="2" t="s">
        <v>32</v>
      </c>
      <c r="P56" s="2" t="s">
        <v>361</v>
      </c>
      <c r="Q56" s="2"/>
      <c r="R56" s="2"/>
      <c r="S56" s="2"/>
      <c r="T56" s="2"/>
      <c r="U56" s="2" t="s">
        <v>35</v>
      </c>
      <c r="V56" s="2" t="s">
        <v>362</v>
      </c>
      <c r="W56" s="2"/>
      <c r="X56" s="2" t="s">
        <v>38</v>
      </c>
      <c r="Y56" s="2" t="s">
        <v>39</v>
      </c>
      <c r="Z56" s="2" t="s">
        <v>40</v>
      </c>
      <c r="AA56" s="2" t="s">
        <v>41</v>
      </c>
      <c r="AB56" s="3" t="s">
        <v>363</v>
      </c>
      <c r="AC56">
        <f>COUNTIF(Sheet1!$A$1:$A$50,Firms!A56)</f>
        <v>0</v>
      </c>
    </row>
    <row r="57" spans="1:30" ht="15" hidden="1" customHeight="1" x14ac:dyDescent="0.45">
      <c r="A57" s="2" t="s">
        <v>364</v>
      </c>
      <c r="B57" s="2" t="s">
        <v>29</v>
      </c>
      <c r="C57" s="2"/>
      <c r="D57" s="2"/>
      <c r="E57" s="2" t="s">
        <v>365</v>
      </c>
      <c r="F57" s="2"/>
      <c r="G57" s="2"/>
      <c r="H57" s="2"/>
      <c r="I57" s="2"/>
      <c r="J57" s="2"/>
      <c r="K57" s="2"/>
      <c r="L57" s="2"/>
      <c r="M57" s="2"/>
      <c r="N57" s="2"/>
      <c r="O57" s="2" t="s">
        <v>366</v>
      </c>
      <c r="P57" s="2" t="s">
        <v>105</v>
      </c>
      <c r="Q57" s="2"/>
      <c r="R57" s="2"/>
      <c r="S57" s="2"/>
      <c r="T57" s="2" t="s">
        <v>367</v>
      </c>
      <c r="U57" s="2" t="s">
        <v>35</v>
      </c>
      <c r="V57" s="2"/>
      <c r="W57" s="2"/>
      <c r="X57" s="2" t="s">
        <v>38</v>
      </c>
      <c r="Y57" s="2" t="s">
        <v>39</v>
      </c>
      <c r="Z57" s="2" t="s">
        <v>40</v>
      </c>
      <c r="AA57" s="2" t="s">
        <v>41</v>
      </c>
      <c r="AB57" s="3" t="s">
        <v>368</v>
      </c>
      <c r="AC57">
        <f>COUNTIF(Sheet1!$A$1:$A$50,Firms!A57)</f>
        <v>0</v>
      </c>
    </row>
    <row r="58" spans="1:30" ht="15" hidden="1" customHeight="1" x14ac:dyDescent="0.45">
      <c r="A58" s="2" t="s">
        <v>369</v>
      </c>
      <c r="B58" s="2" t="s">
        <v>29</v>
      </c>
      <c r="C58" s="2" t="s">
        <v>370</v>
      </c>
      <c r="D58" s="2" t="s">
        <v>371</v>
      </c>
      <c r="E58" s="2" t="s">
        <v>372</v>
      </c>
      <c r="F58" s="2" t="s">
        <v>81</v>
      </c>
      <c r="G58" s="2"/>
      <c r="H58" s="2"/>
      <c r="I58" s="2"/>
      <c r="J58" s="2"/>
      <c r="K58" s="2"/>
      <c r="L58" s="2"/>
      <c r="M58" s="2"/>
      <c r="N58" s="2"/>
      <c r="O58" s="2" t="s">
        <v>32</v>
      </c>
      <c r="P58" s="2" t="s">
        <v>111</v>
      </c>
      <c r="Q58" s="2"/>
      <c r="R58" s="2"/>
      <c r="S58" s="2"/>
      <c r="T58" s="2" t="s">
        <v>373</v>
      </c>
      <c r="U58" s="2" t="s">
        <v>35</v>
      </c>
      <c r="V58" s="2" t="s">
        <v>374</v>
      </c>
      <c r="W58" s="2" t="s">
        <v>369</v>
      </c>
      <c r="X58" s="2" t="s">
        <v>38</v>
      </c>
      <c r="Y58" s="2" t="s">
        <v>39</v>
      </c>
      <c r="Z58" s="2" t="s">
        <v>40</v>
      </c>
      <c r="AA58" s="2" t="s">
        <v>41</v>
      </c>
      <c r="AB58" s="3" t="s">
        <v>375</v>
      </c>
      <c r="AC58">
        <f>COUNTIF(Sheet1!$A$1:$A$50,Firms!A58)</f>
        <v>0</v>
      </c>
    </row>
    <row r="59" spans="1:30" ht="15" hidden="1" customHeight="1" x14ac:dyDescent="0.45">
      <c r="A59" s="2" t="s">
        <v>376</v>
      </c>
      <c r="B59" s="2" t="s">
        <v>29</v>
      </c>
      <c r="C59" s="2"/>
      <c r="D59" s="2"/>
      <c r="E59" s="2" t="s">
        <v>377</v>
      </c>
      <c r="F59" s="2" t="s">
        <v>31</v>
      </c>
      <c r="G59" s="2"/>
      <c r="H59" s="2"/>
      <c r="I59" s="2"/>
      <c r="J59" s="2"/>
      <c r="K59" s="2"/>
      <c r="L59" s="2"/>
      <c r="M59" s="2"/>
      <c r="N59" s="2"/>
      <c r="O59" s="2" t="s">
        <v>32</v>
      </c>
      <c r="P59" s="2" t="s">
        <v>378</v>
      </c>
      <c r="Q59" s="2"/>
      <c r="R59" s="2"/>
      <c r="S59" s="2"/>
      <c r="T59" s="2" t="s">
        <v>379</v>
      </c>
      <c r="U59" s="2" t="s">
        <v>207</v>
      </c>
      <c r="V59" s="2"/>
      <c r="W59" s="2" t="s">
        <v>380</v>
      </c>
      <c r="X59" s="2" t="s">
        <v>38</v>
      </c>
      <c r="Y59" s="2" t="s">
        <v>39</v>
      </c>
      <c r="Z59" s="2" t="s">
        <v>40</v>
      </c>
      <c r="AA59" s="2" t="s">
        <v>41</v>
      </c>
      <c r="AB59" s="3" t="s">
        <v>381</v>
      </c>
      <c r="AC59">
        <f>COUNTIF(Sheet1!$A$1:$A$50,Firms!A59)</f>
        <v>0</v>
      </c>
    </row>
    <row r="60" spans="1:30" ht="15" customHeight="1" x14ac:dyDescent="0.45">
      <c r="A60" s="2" t="s">
        <v>382</v>
      </c>
      <c r="B60" s="2" t="s">
        <v>29</v>
      </c>
      <c r="C60" s="2"/>
      <c r="D60" s="2"/>
      <c r="E60" s="2" t="s">
        <v>383</v>
      </c>
      <c r="F60" s="2"/>
      <c r="G60" s="2"/>
      <c r="H60" s="2"/>
      <c r="I60" s="2"/>
      <c r="J60" s="2"/>
      <c r="K60" s="2"/>
      <c r="L60" s="2"/>
      <c r="M60" s="2"/>
      <c r="N60" s="2"/>
      <c r="O60" s="2" t="s">
        <v>32</v>
      </c>
      <c r="P60" s="2" t="s">
        <v>384</v>
      </c>
      <c r="Q60" s="2"/>
      <c r="R60" s="2"/>
      <c r="S60" s="2"/>
      <c r="T60" s="2" t="s">
        <v>385</v>
      </c>
      <c r="U60" s="2" t="s">
        <v>35</v>
      </c>
      <c r="V60" s="2"/>
      <c r="W60" s="2"/>
      <c r="X60" s="2" t="s">
        <v>38</v>
      </c>
      <c r="Y60" s="2" t="s">
        <v>39</v>
      </c>
      <c r="Z60" s="2" t="s">
        <v>40</v>
      </c>
      <c r="AA60" s="2" t="s">
        <v>41</v>
      </c>
      <c r="AB60" s="3" t="s">
        <v>386</v>
      </c>
      <c r="AC60">
        <f>COUNTIF(Sheet1!$A$1:$A$50,Firms!A60)</f>
        <v>1</v>
      </c>
      <c r="AD60" t="str">
        <f t="shared" ref="AD60:AD61" si="3">SUBSTITUTE(AB60,"Seeded from CapIQ export. Numeric fields are regex first-pass — c","C")</f>
        <v>Crawler will confirm. capiq_description preserved for AI extraction fallback. | [extractor] Blackstone is a publicly traded diversified alternative asset manager (NYSE:BX) with multiple business lines including Private Equity, Real Estate, Credit &amp; Insurance, Infrastructure, Life Sciences, Growth, and Energy Transition Partners. Website is corporate overview; specific investment criteria not detailed. HQ location not confirmed from provided content. AUM and specific fund information not extracted from homepage. Requires review of individual business unit pages or investor materials for detailed criteria.</v>
      </c>
    </row>
    <row r="61" spans="1:30" ht="15" customHeight="1" x14ac:dyDescent="0.45">
      <c r="A61" s="6" t="s">
        <v>387</v>
      </c>
      <c r="B61" s="6" t="s">
        <v>29</v>
      </c>
      <c r="C61" s="6" t="s">
        <v>132</v>
      </c>
      <c r="D61" s="6" t="s">
        <v>388</v>
      </c>
      <c r="E61" s="6" t="s">
        <v>389</v>
      </c>
      <c r="F61" s="6" t="s">
        <v>81</v>
      </c>
      <c r="G61" s="6"/>
      <c r="H61" s="6"/>
      <c r="I61" s="6" t="s">
        <v>69</v>
      </c>
      <c r="J61" s="6" t="s">
        <v>58</v>
      </c>
      <c r="K61" s="6"/>
      <c r="L61" s="6"/>
      <c r="M61" s="6" t="s">
        <v>58</v>
      </c>
      <c r="N61" s="6" t="s">
        <v>138</v>
      </c>
      <c r="O61" s="6" t="s">
        <v>390</v>
      </c>
      <c r="P61" s="6" t="s">
        <v>111</v>
      </c>
      <c r="Q61" s="6"/>
      <c r="R61" s="6"/>
      <c r="S61" s="6"/>
      <c r="T61" s="6" t="s">
        <v>258</v>
      </c>
      <c r="U61" s="6" t="s">
        <v>35</v>
      </c>
      <c r="V61" s="6" t="s">
        <v>391</v>
      </c>
      <c r="W61" s="6" t="s">
        <v>392</v>
      </c>
      <c r="X61" s="6" t="s">
        <v>63</v>
      </c>
      <c r="Y61" s="6" t="s">
        <v>39</v>
      </c>
      <c r="Z61" s="6" t="s">
        <v>40</v>
      </c>
      <c r="AA61" s="6" t="s">
        <v>41</v>
      </c>
      <c r="AB61" s="7" t="s">
        <v>393</v>
      </c>
      <c r="AC61">
        <f>COUNTIF(Sheet1!$A$1:$A$50,Firms!A61)</f>
        <v>1</v>
      </c>
      <c r="AD61" t="str">
        <f t="shared" si="3"/>
        <v>Crawler will confirm. capiq_description preserved for AI extraction fallback. | [extractor] Firm at a Glance PDF available: https://static.spacecrafted.com/c92111026fa443e6b8fe2553197229b3/r/e47e0544e59d424198110dd6cbf5f238/1/Blue%20Sage%20Flyer%20%28%20October%20-%2025%29.pdf — not parsed. AUM stated as 'over a billion dollars' set to 1000.0. Fund IV closed January 2025 at $618M; Blue Sage Strategic Credit Fund closed October 2025 at $287M. Recent deal activity through November 2025 indicates Active status. Check size range inferred from '$25-60M investment' language. Sector keywords extracted from stated industries. Deal types include majority/minority equity and mezzanine debt flexibility per criteria.</v>
      </c>
    </row>
    <row r="62" spans="1:30" ht="15" hidden="1" customHeight="1" x14ac:dyDescent="0.45">
      <c r="A62" s="4" t="s">
        <v>394</v>
      </c>
      <c r="B62" s="4" t="s">
        <v>44</v>
      </c>
      <c r="C62" s="4"/>
      <c r="D62" s="4"/>
      <c r="E62" s="4" t="s">
        <v>395</v>
      </c>
      <c r="F62" s="4"/>
      <c r="G62" s="4"/>
      <c r="H62" s="4"/>
      <c r="I62" s="4"/>
      <c r="J62" s="4"/>
      <c r="K62" s="4"/>
      <c r="L62" s="4"/>
      <c r="M62" s="4"/>
      <c r="N62" s="4"/>
      <c r="O62" s="4"/>
      <c r="P62" s="4" t="s">
        <v>396</v>
      </c>
      <c r="Q62" s="4"/>
      <c r="R62" s="4"/>
      <c r="S62" s="4"/>
      <c r="T62" s="4"/>
      <c r="U62" s="4" t="s">
        <v>35</v>
      </c>
      <c r="V62" s="4"/>
      <c r="W62" s="4"/>
      <c r="X62" s="4" t="s">
        <v>47</v>
      </c>
      <c r="Y62" s="4" t="s">
        <v>48</v>
      </c>
      <c r="Z62" s="4" t="s">
        <v>40</v>
      </c>
      <c r="AA62" s="4" t="s">
        <v>41</v>
      </c>
      <c r="AB62" s="5" t="s">
        <v>397</v>
      </c>
      <c r="AC62">
        <f>COUNTIF(Sheet1!$A$1:$A$50,Firms!A62)</f>
        <v>0</v>
      </c>
    </row>
    <row r="63" spans="1:30" ht="15" hidden="1" customHeight="1" x14ac:dyDescent="0.45">
      <c r="A63" s="2" t="s">
        <v>398</v>
      </c>
      <c r="B63" s="2" t="s">
        <v>44</v>
      </c>
      <c r="C63" s="2" t="s">
        <v>331</v>
      </c>
      <c r="D63" s="2" t="s">
        <v>332</v>
      </c>
      <c r="E63" s="2" t="s">
        <v>399</v>
      </c>
      <c r="F63" s="2"/>
      <c r="G63" s="2"/>
      <c r="H63" s="2"/>
      <c r="I63" s="2"/>
      <c r="J63" s="2"/>
      <c r="K63" s="2"/>
      <c r="L63" s="2"/>
      <c r="M63" s="2"/>
      <c r="N63" s="2"/>
      <c r="O63" s="2"/>
      <c r="P63" s="2" t="s">
        <v>46</v>
      </c>
      <c r="Q63" s="2"/>
      <c r="R63" s="2"/>
      <c r="S63" s="2"/>
      <c r="T63" s="2"/>
      <c r="U63" s="2" t="s">
        <v>35</v>
      </c>
      <c r="V63" s="2"/>
      <c r="W63" s="2"/>
      <c r="X63" s="2" t="s">
        <v>38</v>
      </c>
      <c r="Y63" s="2" t="s">
        <v>39</v>
      </c>
      <c r="Z63" s="2" t="s">
        <v>40</v>
      </c>
      <c r="AA63" s="2" t="s">
        <v>41</v>
      </c>
      <c r="AB63" s="3" t="s">
        <v>400</v>
      </c>
      <c r="AC63">
        <f>COUNTIF(Sheet1!$A$1:$A$50,Firms!A63)</f>
        <v>0</v>
      </c>
    </row>
    <row r="64" spans="1:30" ht="15" hidden="1" customHeight="1" x14ac:dyDescent="0.45">
      <c r="A64" s="2" t="s">
        <v>401</v>
      </c>
      <c r="B64" s="2" t="s">
        <v>402</v>
      </c>
      <c r="C64" s="2"/>
      <c r="D64" s="2" t="s">
        <v>403</v>
      </c>
      <c r="E64" s="2" t="s">
        <v>404</v>
      </c>
      <c r="F64" s="2" t="s">
        <v>405</v>
      </c>
      <c r="G64" s="2"/>
      <c r="H64" s="2"/>
      <c r="I64" s="2"/>
      <c r="J64" s="2"/>
      <c r="K64" s="2"/>
      <c r="L64" s="2"/>
      <c r="M64" s="2"/>
      <c r="N64" s="2"/>
      <c r="O64" s="2" t="s">
        <v>406</v>
      </c>
      <c r="P64" s="2" t="s">
        <v>105</v>
      </c>
      <c r="Q64" s="2"/>
      <c r="R64" s="2"/>
      <c r="S64" s="2"/>
      <c r="T64" s="2"/>
      <c r="U64" s="2" t="s">
        <v>35</v>
      </c>
      <c r="V64" s="2"/>
      <c r="W64" s="2"/>
      <c r="X64" s="2" t="s">
        <v>38</v>
      </c>
      <c r="Y64" s="2" t="s">
        <v>39</v>
      </c>
      <c r="Z64" s="2" t="s">
        <v>40</v>
      </c>
      <c r="AA64" s="2" t="s">
        <v>41</v>
      </c>
      <c r="AB64" s="3" t="s">
        <v>407</v>
      </c>
      <c r="AC64">
        <f>COUNTIF(Sheet1!$A$1:$A$50,Firms!A64)</f>
        <v>0</v>
      </c>
    </row>
    <row r="65" spans="1:30" ht="15" customHeight="1" x14ac:dyDescent="0.45">
      <c r="A65" s="6" t="s">
        <v>408</v>
      </c>
      <c r="B65" s="6" t="s">
        <v>29</v>
      </c>
      <c r="C65" s="6" t="s">
        <v>272</v>
      </c>
      <c r="D65" s="6" t="s">
        <v>273</v>
      </c>
      <c r="E65" s="6" t="s">
        <v>409</v>
      </c>
      <c r="F65" s="6" t="s">
        <v>31</v>
      </c>
      <c r="G65" s="6" t="s">
        <v>192</v>
      </c>
      <c r="H65" s="6" t="s">
        <v>56</v>
      </c>
      <c r="I65" s="6" t="s">
        <v>125</v>
      </c>
      <c r="J65" s="6" t="s">
        <v>192</v>
      </c>
      <c r="K65" s="6" t="s">
        <v>54</v>
      </c>
      <c r="L65" s="6" t="s">
        <v>55</v>
      </c>
      <c r="M65" s="6" t="s">
        <v>69</v>
      </c>
      <c r="N65" s="6" t="s">
        <v>110</v>
      </c>
      <c r="O65" s="6" t="s">
        <v>72</v>
      </c>
      <c r="P65" s="6" t="s">
        <v>410</v>
      </c>
      <c r="Q65" s="6" t="s">
        <v>411</v>
      </c>
      <c r="R65" s="6" t="s">
        <v>412</v>
      </c>
      <c r="S65" s="6" t="s">
        <v>413</v>
      </c>
      <c r="T65" s="6"/>
      <c r="U65" s="6" t="s">
        <v>35</v>
      </c>
      <c r="V65" s="6"/>
      <c r="W65" s="6"/>
      <c r="X65" s="6" t="s">
        <v>63</v>
      </c>
      <c r="Y65" s="6" t="s">
        <v>39</v>
      </c>
      <c r="Z65" s="6" t="s">
        <v>414</v>
      </c>
      <c r="AA65" s="6" t="s">
        <v>41</v>
      </c>
      <c r="AB65" s="7" t="s">
        <v>415</v>
      </c>
      <c r="AC65">
        <f>COUNTIF(Sheet1!$A$1:$A$50,Firms!A65)</f>
        <v>1</v>
      </c>
      <c r="AD65" t="str">
        <f>SUBSTITUTE(AB65,"Seeded from CapIQ export. Numeric fields are regex first-pass — c","C")</f>
        <v>Crawler will confirm. capiq_description preserved for AI extraction fallback. | [crawler] Explicit investment criteria page found.</v>
      </c>
    </row>
    <row r="66" spans="1:30" ht="15" hidden="1" customHeight="1" x14ac:dyDescent="0.45">
      <c r="A66" s="6" t="s">
        <v>416</v>
      </c>
      <c r="B66" s="6" t="s">
        <v>29</v>
      </c>
      <c r="C66" s="6"/>
      <c r="D66" s="6"/>
      <c r="E66" s="6" t="s">
        <v>417</v>
      </c>
      <c r="F66" s="6" t="s">
        <v>81</v>
      </c>
      <c r="G66" s="6" t="s">
        <v>58</v>
      </c>
      <c r="H66" s="6" t="s">
        <v>59</v>
      </c>
      <c r="I66" s="6" t="s">
        <v>418</v>
      </c>
      <c r="J66" s="6" t="s">
        <v>58</v>
      </c>
      <c r="K66" s="6"/>
      <c r="L66" s="6"/>
      <c r="M66" s="6"/>
      <c r="N66" s="6"/>
      <c r="O66" s="6" t="s">
        <v>72</v>
      </c>
      <c r="P66" s="6" t="s">
        <v>419</v>
      </c>
      <c r="Q66" s="6"/>
      <c r="R66" s="6"/>
      <c r="S66" s="6"/>
      <c r="T66" s="6"/>
      <c r="U66" s="6" t="s">
        <v>35</v>
      </c>
      <c r="V66" s="6" t="s">
        <v>420</v>
      </c>
      <c r="W66" s="6"/>
      <c r="X66" s="6" t="s">
        <v>63</v>
      </c>
      <c r="Y66" s="6" t="s">
        <v>39</v>
      </c>
      <c r="Z66" s="6" t="s">
        <v>40</v>
      </c>
      <c r="AA66" s="6" t="s">
        <v>41</v>
      </c>
      <c r="AB66" s="7" t="s">
        <v>421</v>
      </c>
      <c r="AC66">
        <f>COUNTIF(Sheet1!$A$1:$A$50,Firms!A66)</f>
        <v>0</v>
      </c>
    </row>
    <row r="67" spans="1:30" ht="15" hidden="1" customHeight="1" x14ac:dyDescent="0.45">
      <c r="A67" s="4" t="s">
        <v>422</v>
      </c>
      <c r="B67" s="4" t="s">
        <v>44</v>
      </c>
      <c r="C67" s="4"/>
      <c r="D67" s="4"/>
      <c r="E67" s="4" t="s">
        <v>423</v>
      </c>
      <c r="F67" s="4"/>
      <c r="G67" s="4"/>
      <c r="H67" s="4"/>
      <c r="I67" s="4"/>
      <c r="J67" s="4"/>
      <c r="K67" s="4"/>
      <c r="L67" s="4"/>
      <c r="M67" s="4"/>
      <c r="N67" s="4"/>
      <c r="O67" s="4"/>
      <c r="P67" s="4" t="s">
        <v>424</v>
      </c>
      <c r="Q67" s="4"/>
      <c r="R67" s="4"/>
      <c r="S67" s="4"/>
      <c r="T67" s="4"/>
      <c r="U67" s="4" t="s">
        <v>35</v>
      </c>
      <c r="V67" s="4"/>
      <c r="W67" s="4"/>
      <c r="X67" s="4" t="s">
        <v>47</v>
      </c>
      <c r="Y67" s="4" t="s">
        <v>48</v>
      </c>
      <c r="Z67" s="4" t="s">
        <v>40</v>
      </c>
      <c r="AA67" s="4" t="s">
        <v>41</v>
      </c>
      <c r="AB67" s="5" t="s">
        <v>425</v>
      </c>
      <c r="AC67">
        <f>COUNTIF(Sheet1!$A$1:$A$50,Firms!A67)</f>
        <v>0</v>
      </c>
    </row>
    <row r="68" spans="1:30" ht="15" hidden="1" customHeight="1" x14ac:dyDescent="0.45">
      <c r="A68" s="2" t="s">
        <v>426</v>
      </c>
      <c r="B68" s="2" t="s">
        <v>29</v>
      </c>
      <c r="C68" s="2" t="s">
        <v>331</v>
      </c>
      <c r="D68" s="2" t="s">
        <v>332</v>
      </c>
      <c r="E68" s="2" t="s">
        <v>427</v>
      </c>
      <c r="F68" s="2" t="s">
        <v>81</v>
      </c>
      <c r="G68" s="2"/>
      <c r="H68" s="2"/>
      <c r="I68" s="2"/>
      <c r="J68" s="2"/>
      <c r="K68" s="2"/>
      <c r="L68" s="2"/>
      <c r="M68" s="2"/>
      <c r="N68" s="2"/>
      <c r="O68" s="2" t="s">
        <v>32</v>
      </c>
      <c r="P68" s="2" t="s">
        <v>428</v>
      </c>
      <c r="Q68" s="2"/>
      <c r="R68" s="2"/>
      <c r="S68" s="2"/>
      <c r="T68" s="2" t="s">
        <v>429</v>
      </c>
      <c r="U68" s="2" t="s">
        <v>35</v>
      </c>
      <c r="V68" s="2"/>
      <c r="W68" s="2"/>
      <c r="X68" s="2" t="s">
        <v>38</v>
      </c>
      <c r="Y68" s="2" t="s">
        <v>39</v>
      </c>
      <c r="Z68" s="2" t="s">
        <v>40</v>
      </c>
      <c r="AA68" s="2" t="s">
        <v>41</v>
      </c>
      <c r="AB68" s="3" t="s">
        <v>430</v>
      </c>
      <c r="AC68">
        <f>COUNTIF(Sheet1!$A$1:$A$50,Firms!A68)</f>
        <v>0</v>
      </c>
    </row>
    <row r="69" spans="1:30" ht="15" hidden="1" customHeight="1" x14ac:dyDescent="0.45">
      <c r="A69" s="6" t="s">
        <v>431</v>
      </c>
      <c r="B69" s="6" t="s">
        <v>29</v>
      </c>
      <c r="C69" s="6" t="s">
        <v>432</v>
      </c>
      <c r="D69" s="6" t="s">
        <v>433</v>
      </c>
      <c r="E69" s="6" t="s">
        <v>434</v>
      </c>
      <c r="F69" s="6" t="s">
        <v>31</v>
      </c>
      <c r="G69" s="6"/>
      <c r="H69" s="6"/>
      <c r="I69" s="6" t="s">
        <v>125</v>
      </c>
      <c r="J69" s="6" t="s">
        <v>192</v>
      </c>
      <c r="K69" s="6"/>
      <c r="L69" s="6"/>
      <c r="M69" s="6"/>
      <c r="N69" s="6"/>
      <c r="O69" s="6" t="s">
        <v>32</v>
      </c>
      <c r="P69" s="6" t="s">
        <v>410</v>
      </c>
      <c r="Q69" s="6"/>
      <c r="R69" s="6"/>
      <c r="S69" s="6"/>
      <c r="T69" s="6" t="s">
        <v>435</v>
      </c>
      <c r="U69" s="6" t="s">
        <v>35</v>
      </c>
      <c r="V69" s="6"/>
      <c r="W69" s="6"/>
      <c r="X69" s="6" t="s">
        <v>63</v>
      </c>
      <c r="Y69" s="6" t="s">
        <v>39</v>
      </c>
      <c r="Z69" s="6" t="s">
        <v>40</v>
      </c>
      <c r="AA69" s="6" t="s">
        <v>41</v>
      </c>
      <c r="AB69" s="7" t="s">
        <v>436</v>
      </c>
      <c r="AC69">
        <f>COUNTIF(Sheet1!$A$1:$A$50,Firms!A69)</f>
        <v>0</v>
      </c>
    </row>
    <row r="70" spans="1:30" ht="15" hidden="1" customHeight="1" x14ac:dyDescent="0.45">
      <c r="A70" s="2" t="s">
        <v>437</v>
      </c>
      <c r="B70" s="2" t="s">
        <v>29</v>
      </c>
      <c r="C70" s="2" t="s">
        <v>438</v>
      </c>
      <c r="D70" s="2" t="s">
        <v>439</v>
      </c>
      <c r="E70" s="2" t="s">
        <v>440</v>
      </c>
      <c r="F70" s="2" t="s">
        <v>81</v>
      </c>
      <c r="G70" s="2"/>
      <c r="H70" s="2"/>
      <c r="I70" s="2" t="s">
        <v>135</v>
      </c>
      <c r="J70" s="2"/>
      <c r="K70" s="2"/>
      <c r="L70" s="2"/>
      <c r="M70" s="2"/>
      <c r="N70" s="2"/>
      <c r="O70" s="2" t="s">
        <v>193</v>
      </c>
      <c r="P70" s="2" t="s">
        <v>73</v>
      </c>
      <c r="Q70" s="2"/>
      <c r="R70" s="2"/>
      <c r="S70" s="2"/>
      <c r="T70" s="2"/>
      <c r="U70" s="2" t="s">
        <v>35</v>
      </c>
      <c r="V70" s="2"/>
      <c r="W70" s="2"/>
      <c r="X70" s="2" t="s">
        <v>38</v>
      </c>
      <c r="Y70" s="2" t="s">
        <v>39</v>
      </c>
      <c r="Z70" s="2" t="s">
        <v>441</v>
      </c>
      <c r="AA70" s="2" t="s">
        <v>41</v>
      </c>
      <c r="AB70" s="3" t="s">
        <v>442</v>
      </c>
      <c r="AC70">
        <f>COUNTIF(Sheet1!$A$1:$A$50,Firms!A70)</f>
        <v>0</v>
      </c>
    </row>
    <row r="71" spans="1:30" ht="15" hidden="1" customHeight="1" x14ac:dyDescent="0.45">
      <c r="A71" s="6" t="s">
        <v>443</v>
      </c>
      <c r="B71" s="6" t="s">
        <v>29</v>
      </c>
      <c r="C71" s="6" t="s">
        <v>444</v>
      </c>
      <c r="D71" s="6" t="s">
        <v>445</v>
      </c>
      <c r="E71" s="6" t="s">
        <v>446</v>
      </c>
      <c r="F71" s="6" t="s">
        <v>31</v>
      </c>
      <c r="G71" s="6" t="s">
        <v>137</v>
      </c>
      <c r="H71" s="6" t="s">
        <v>55</v>
      </c>
      <c r="I71" s="6" t="s">
        <v>125</v>
      </c>
      <c r="J71" s="6" t="s">
        <v>192</v>
      </c>
      <c r="K71" s="6"/>
      <c r="L71" s="6"/>
      <c r="M71" s="6"/>
      <c r="N71" s="6"/>
      <c r="O71" s="6" t="s">
        <v>82</v>
      </c>
      <c r="P71" s="6" t="s">
        <v>253</v>
      </c>
      <c r="Q71" s="6"/>
      <c r="R71" s="6"/>
      <c r="S71" s="6"/>
      <c r="T71" s="6"/>
      <c r="U71" s="6" t="s">
        <v>35</v>
      </c>
      <c r="V71" s="6"/>
      <c r="W71" s="6"/>
      <c r="X71" s="6" t="s">
        <v>63</v>
      </c>
      <c r="Y71" s="6" t="s">
        <v>39</v>
      </c>
      <c r="Z71" s="6" t="s">
        <v>40</v>
      </c>
      <c r="AA71" s="6" t="s">
        <v>41</v>
      </c>
      <c r="AB71" s="7" t="s">
        <v>447</v>
      </c>
      <c r="AC71">
        <f>COUNTIF(Sheet1!$A$1:$A$50,Firms!A71)</f>
        <v>0</v>
      </c>
    </row>
    <row r="72" spans="1:30" ht="15" hidden="1" customHeight="1" x14ac:dyDescent="0.45">
      <c r="A72" s="6" t="s">
        <v>448</v>
      </c>
      <c r="B72" s="6" t="s">
        <v>29</v>
      </c>
      <c r="C72" s="6"/>
      <c r="D72" s="6"/>
      <c r="E72" s="6" t="s">
        <v>449</v>
      </c>
      <c r="F72" s="6" t="s">
        <v>31</v>
      </c>
      <c r="G72" s="6"/>
      <c r="H72" s="6"/>
      <c r="I72" s="6" t="s">
        <v>69</v>
      </c>
      <c r="J72" s="6"/>
      <c r="K72" s="6"/>
      <c r="L72" s="6"/>
      <c r="M72" s="6"/>
      <c r="N72" s="6"/>
      <c r="O72" s="6" t="s">
        <v>193</v>
      </c>
      <c r="P72" s="6" t="s">
        <v>111</v>
      </c>
      <c r="Q72" s="6"/>
      <c r="R72" s="6"/>
      <c r="S72" s="6"/>
      <c r="T72" s="6" t="s">
        <v>450</v>
      </c>
      <c r="U72" s="6" t="s">
        <v>35</v>
      </c>
      <c r="V72" s="6"/>
      <c r="W72" s="6"/>
      <c r="X72" s="6" t="s">
        <v>63</v>
      </c>
      <c r="Y72" s="6" t="s">
        <v>39</v>
      </c>
      <c r="Z72" s="6" t="s">
        <v>40</v>
      </c>
      <c r="AA72" s="6" t="s">
        <v>41</v>
      </c>
      <c r="AB72" s="7" t="s">
        <v>451</v>
      </c>
      <c r="AC72">
        <f>COUNTIF(Sheet1!$A$1:$A$50,Firms!A72)</f>
        <v>0</v>
      </c>
    </row>
    <row r="73" spans="1:30" ht="15" customHeight="1" x14ac:dyDescent="0.45">
      <c r="A73" s="6" t="s">
        <v>452</v>
      </c>
      <c r="B73" s="6" t="s">
        <v>291</v>
      </c>
      <c r="C73" s="6" t="s">
        <v>453</v>
      </c>
      <c r="D73" s="6" t="s">
        <v>454</v>
      </c>
      <c r="E73" s="6" t="s">
        <v>455</v>
      </c>
      <c r="F73" s="6" t="s">
        <v>31</v>
      </c>
      <c r="G73" s="6" t="s">
        <v>55</v>
      </c>
      <c r="H73" s="6"/>
      <c r="I73" s="6" t="s">
        <v>137</v>
      </c>
      <c r="J73" s="6" t="s">
        <v>70</v>
      </c>
      <c r="K73" s="6" t="s">
        <v>136</v>
      </c>
      <c r="L73" s="6" t="s">
        <v>456</v>
      </c>
      <c r="M73" s="6"/>
      <c r="N73" s="6"/>
      <c r="O73" s="6" t="s">
        <v>32</v>
      </c>
      <c r="P73" s="6" t="s">
        <v>457</v>
      </c>
      <c r="Q73" s="6"/>
      <c r="R73" s="6"/>
      <c r="S73" s="6" t="s">
        <v>458</v>
      </c>
      <c r="T73" s="6"/>
      <c r="U73" s="6"/>
      <c r="V73" s="6"/>
      <c r="W73" s="6"/>
      <c r="X73" s="6" t="s">
        <v>63</v>
      </c>
      <c r="Y73" s="6" t="s">
        <v>39</v>
      </c>
      <c r="Z73" s="6" t="s">
        <v>40</v>
      </c>
      <c r="AA73" s="6" t="s">
        <v>41</v>
      </c>
      <c r="AB73" s="7" t="s">
        <v>459</v>
      </c>
      <c r="AC73">
        <f>COUNTIF(Sheet1!$A$1:$A$50,Firms!A73)</f>
        <v>1</v>
      </c>
      <c r="AD73" t="str">
        <f>SUBSTITUTE(AB73,"Seeded from CapIQ export. Numeric fields are regex first-pass — c","C")</f>
        <v>Crawler will confirm. capiq_description preserved for AI extraction fallback. | [extractor] Family-owned investment firm investing own capital. Focuses on control acquisitions (buyout) of established middle-market businesses in industrial/manufacturing sectors. Explicit criteria: US or UK HQ, revenue $100M+, EBITDA $20-50M, deal size $150-500M, B2B distribution, family-owned preference, control position required. Portfolio includes Sur-Seal and Zahav Bioscience. No fund structure identified; appears to be evergreen family office vehicle.</v>
      </c>
    </row>
    <row r="74" spans="1:30" ht="15" hidden="1" customHeight="1" x14ac:dyDescent="0.45">
      <c r="A74" s="8" t="s">
        <v>460</v>
      </c>
      <c r="B74" s="8" t="s">
        <v>44</v>
      </c>
      <c r="C74" s="8"/>
      <c r="D74" s="8" t="s">
        <v>332</v>
      </c>
      <c r="E74" s="8" t="s">
        <v>461</v>
      </c>
      <c r="F74" s="8" t="s">
        <v>81</v>
      </c>
      <c r="G74" s="8"/>
      <c r="H74" s="8"/>
      <c r="I74" s="8"/>
      <c r="J74" s="8"/>
      <c r="K74" s="8"/>
      <c r="L74" s="8"/>
      <c r="M74" s="8"/>
      <c r="N74" s="8"/>
      <c r="O74" s="8"/>
      <c r="P74" s="8" t="s">
        <v>462</v>
      </c>
      <c r="Q74" s="8"/>
      <c r="R74" s="8"/>
      <c r="S74" s="8"/>
      <c r="T74" s="8" t="s">
        <v>463</v>
      </c>
      <c r="U74" s="8" t="s">
        <v>35</v>
      </c>
      <c r="V74" s="8"/>
      <c r="W74" s="8"/>
      <c r="X74" s="8" t="s">
        <v>47</v>
      </c>
      <c r="Y74" s="8" t="s">
        <v>39</v>
      </c>
      <c r="Z74" s="8" t="s">
        <v>40</v>
      </c>
      <c r="AA74" s="8" t="s">
        <v>41</v>
      </c>
      <c r="AB74" s="9" t="s">
        <v>464</v>
      </c>
      <c r="AC74">
        <f>COUNTIF(Sheet1!$A$1:$A$50,Firms!A74)</f>
        <v>0</v>
      </c>
    </row>
    <row r="75" spans="1:30" ht="15" hidden="1" customHeight="1" x14ac:dyDescent="0.45">
      <c r="A75" s="6" t="s">
        <v>465</v>
      </c>
      <c r="B75" s="6" t="s">
        <v>29</v>
      </c>
      <c r="C75" s="6" t="s">
        <v>466</v>
      </c>
      <c r="D75" s="6" t="s">
        <v>467</v>
      </c>
      <c r="E75" s="6" t="s">
        <v>468</v>
      </c>
      <c r="F75" s="6" t="s">
        <v>81</v>
      </c>
      <c r="G75" s="6" t="s">
        <v>69</v>
      </c>
      <c r="H75" s="6" t="s">
        <v>58</v>
      </c>
      <c r="I75" s="6" t="s">
        <v>469</v>
      </c>
      <c r="J75" s="6" t="s">
        <v>69</v>
      </c>
      <c r="K75" s="6"/>
      <c r="L75" s="6"/>
      <c r="M75" s="6"/>
      <c r="N75" s="6"/>
      <c r="O75" s="6" t="s">
        <v>32</v>
      </c>
      <c r="P75" s="6" t="s">
        <v>470</v>
      </c>
      <c r="Q75" s="6"/>
      <c r="R75" s="6"/>
      <c r="S75" s="6"/>
      <c r="T75" s="6" t="s">
        <v>471</v>
      </c>
      <c r="U75" s="6" t="s">
        <v>35</v>
      </c>
      <c r="V75" s="6"/>
      <c r="W75" s="6"/>
      <c r="X75" s="6" t="s">
        <v>63</v>
      </c>
      <c r="Y75" s="6" t="s">
        <v>39</v>
      </c>
      <c r="Z75" s="6" t="s">
        <v>40</v>
      </c>
      <c r="AA75" s="6" t="s">
        <v>41</v>
      </c>
      <c r="AB75" s="7" t="s">
        <v>472</v>
      </c>
      <c r="AC75">
        <f>COUNTIF(Sheet1!$A$1:$A$50,Firms!A75)</f>
        <v>0</v>
      </c>
    </row>
    <row r="76" spans="1:30" ht="15" hidden="1" customHeight="1" x14ac:dyDescent="0.45">
      <c r="A76" s="2" t="s">
        <v>473</v>
      </c>
      <c r="B76" s="2" t="s">
        <v>44</v>
      </c>
      <c r="C76" s="2"/>
      <c r="D76" s="2"/>
      <c r="E76" s="2" t="s">
        <v>474</v>
      </c>
      <c r="F76" s="2"/>
      <c r="G76" s="2"/>
      <c r="H76" s="2"/>
      <c r="I76" s="2"/>
      <c r="J76" s="2"/>
      <c r="K76" s="2"/>
      <c r="L76" s="2"/>
      <c r="M76" s="2"/>
      <c r="N76" s="2"/>
      <c r="O76" s="2" t="s">
        <v>32</v>
      </c>
      <c r="P76" s="2" t="s">
        <v>73</v>
      </c>
      <c r="Q76" s="2"/>
      <c r="R76" s="2"/>
      <c r="S76" s="2"/>
      <c r="T76" s="2"/>
      <c r="U76" s="2" t="s">
        <v>35</v>
      </c>
      <c r="V76" s="2"/>
      <c r="W76" s="2"/>
      <c r="X76" s="2" t="s">
        <v>38</v>
      </c>
      <c r="Y76" s="2" t="s">
        <v>39</v>
      </c>
      <c r="Z76" s="2" t="s">
        <v>40</v>
      </c>
      <c r="AA76" s="2" t="s">
        <v>41</v>
      </c>
      <c r="AB76" s="3" t="s">
        <v>475</v>
      </c>
      <c r="AC76">
        <f>COUNTIF(Sheet1!$A$1:$A$50,Firms!A76)</f>
        <v>0</v>
      </c>
    </row>
    <row r="77" spans="1:30" ht="15" hidden="1" customHeight="1" x14ac:dyDescent="0.45">
      <c r="A77" s="4" t="s">
        <v>476</v>
      </c>
      <c r="B77" s="4" t="s">
        <v>29</v>
      </c>
      <c r="C77" s="4" t="s">
        <v>101</v>
      </c>
      <c r="D77" s="4" t="s">
        <v>477</v>
      </c>
      <c r="E77" s="4" t="s">
        <v>478</v>
      </c>
      <c r="F77" s="4" t="s">
        <v>48</v>
      </c>
      <c r="G77" s="4"/>
      <c r="H77" s="4"/>
      <c r="I77" s="4"/>
      <c r="J77" s="4"/>
      <c r="K77" s="4"/>
      <c r="L77" s="4"/>
      <c r="M77" s="4"/>
      <c r="N77" s="4"/>
      <c r="O77" s="4"/>
      <c r="P77" s="4" t="s">
        <v>479</v>
      </c>
      <c r="Q77" s="4"/>
      <c r="R77" s="4"/>
      <c r="S77" s="4"/>
      <c r="T77" s="4" t="s">
        <v>480</v>
      </c>
      <c r="U77" s="4" t="s">
        <v>35</v>
      </c>
      <c r="V77" s="4"/>
      <c r="W77" s="4"/>
      <c r="X77" s="4" t="s">
        <v>47</v>
      </c>
      <c r="Y77" s="4" t="s">
        <v>48</v>
      </c>
      <c r="Z77" s="4" t="s">
        <v>40</v>
      </c>
      <c r="AA77" s="4" t="s">
        <v>41</v>
      </c>
      <c r="AB77" s="5" t="s">
        <v>481</v>
      </c>
      <c r="AC77">
        <f>COUNTIF(Sheet1!$A$1:$A$50,Firms!A77)</f>
        <v>0</v>
      </c>
    </row>
    <row r="78" spans="1:30" ht="15" hidden="1" customHeight="1" x14ac:dyDescent="0.45">
      <c r="A78" s="6" t="s">
        <v>482</v>
      </c>
      <c r="B78" s="6" t="s">
        <v>29</v>
      </c>
      <c r="C78" s="6"/>
      <c r="D78" s="6"/>
      <c r="E78" s="6" t="s">
        <v>483</v>
      </c>
      <c r="F78" s="6" t="s">
        <v>31</v>
      </c>
      <c r="G78" s="6"/>
      <c r="H78" s="6"/>
      <c r="I78" s="6"/>
      <c r="J78" s="6"/>
      <c r="K78" s="6"/>
      <c r="L78" s="6"/>
      <c r="M78" s="6" t="s">
        <v>70</v>
      </c>
      <c r="N78" s="6" t="s">
        <v>59</v>
      </c>
      <c r="O78" s="6" t="s">
        <v>193</v>
      </c>
      <c r="P78" s="6" t="s">
        <v>484</v>
      </c>
      <c r="Q78" s="6" t="s">
        <v>485</v>
      </c>
      <c r="R78" s="6" t="s">
        <v>486</v>
      </c>
      <c r="S78" s="6"/>
      <c r="T78" s="6" t="s">
        <v>487</v>
      </c>
      <c r="U78" s="6" t="s">
        <v>35</v>
      </c>
      <c r="V78" s="6"/>
      <c r="W78" s="6"/>
      <c r="X78" s="6" t="s">
        <v>63</v>
      </c>
      <c r="Y78" s="6" t="s">
        <v>39</v>
      </c>
      <c r="Z78" s="6" t="s">
        <v>40</v>
      </c>
      <c r="AA78" s="6" t="s">
        <v>41</v>
      </c>
      <c r="AB78" s="7" t="s">
        <v>488</v>
      </c>
      <c r="AC78">
        <f>COUNTIF(Sheet1!$A$1:$A$50,Firms!A78)</f>
        <v>0</v>
      </c>
    </row>
    <row r="79" spans="1:30" ht="15" hidden="1" customHeight="1" x14ac:dyDescent="0.45">
      <c r="A79" s="2" t="s">
        <v>489</v>
      </c>
      <c r="B79" s="2" t="s">
        <v>29</v>
      </c>
      <c r="C79" s="2"/>
      <c r="D79" s="2"/>
      <c r="E79" s="2" t="s">
        <v>490</v>
      </c>
      <c r="F79" s="2" t="s">
        <v>81</v>
      </c>
      <c r="G79" s="2"/>
      <c r="H79" s="2"/>
      <c r="I79" s="2"/>
      <c r="J79" s="2"/>
      <c r="K79" s="2"/>
      <c r="L79" s="2"/>
      <c r="M79" s="2"/>
      <c r="N79" s="2"/>
      <c r="O79" s="2" t="s">
        <v>32</v>
      </c>
      <c r="P79" s="2" t="s">
        <v>279</v>
      </c>
      <c r="Q79" s="2"/>
      <c r="R79" s="2"/>
      <c r="S79" s="2"/>
      <c r="T79" s="2"/>
      <c r="U79" s="2" t="s">
        <v>35</v>
      </c>
      <c r="V79" s="2"/>
      <c r="W79" s="2"/>
      <c r="X79" s="2" t="s">
        <v>38</v>
      </c>
      <c r="Y79" s="2" t="s">
        <v>39</v>
      </c>
      <c r="Z79" s="2" t="s">
        <v>40</v>
      </c>
      <c r="AA79" s="2" t="s">
        <v>41</v>
      </c>
      <c r="AB79" s="3" t="s">
        <v>491</v>
      </c>
      <c r="AC79">
        <f>COUNTIF(Sheet1!$A$1:$A$50,Firms!A79)</f>
        <v>0</v>
      </c>
    </row>
    <row r="80" spans="1:30" ht="15" customHeight="1" x14ac:dyDescent="0.45">
      <c r="A80" s="2" t="s">
        <v>492</v>
      </c>
      <c r="B80" s="2" t="s">
        <v>29</v>
      </c>
      <c r="C80" s="2"/>
      <c r="D80" s="2"/>
      <c r="E80" s="2" t="s">
        <v>493</v>
      </c>
      <c r="F80" s="2" t="s">
        <v>81</v>
      </c>
      <c r="G80" s="2"/>
      <c r="H80" s="2"/>
      <c r="I80" s="2"/>
      <c r="J80" s="2"/>
      <c r="K80" s="2"/>
      <c r="L80" s="2"/>
      <c r="M80" s="2"/>
      <c r="N80" s="2"/>
      <c r="O80" s="2" t="s">
        <v>32</v>
      </c>
      <c r="P80" s="2" t="s">
        <v>494</v>
      </c>
      <c r="Q80" s="2"/>
      <c r="R80" s="2"/>
      <c r="S80" s="2"/>
      <c r="T80" s="2" t="s">
        <v>495</v>
      </c>
      <c r="U80" s="2" t="s">
        <v>35</v>
      </c>
      <c r="V80" s="2"/>
      <c r="W80" s="2"/>
      <c r="X80" s="2" t="s">
        <v>38</v>
      </c>
      <c r="Y80" s="2" t="s">
        <v>39</v>
      </c>
      <c r="Z80" s="2" t="s">
        <v>40</v>
      </c>
      <c r="AA80" s="2" t="s">
        <v>41</v>
      </c>
      <c r="AB80" s="3" t="s">
        <v>496</v>
      </c>
      <c r="AC80">
        <f>COUNTIF(Sheet1!$A$1:$A$50,Firms!A80)</f>
        <v>1</v>
      </c>
      <c r="AD80" t="str">
        <f>SUBSTITUTE(AB80,"Seeded from CapIQ export. Numeric fields are regex first-pass — c","C")</f>
        <v>Crawler will confirm. capiq_description preserved for AI extraction fallback. | [extractor] CVC Capital Partners is a global PE firm with €209 billion AUM (~$228.6B USD as of March 2026). Portfolio includes 150+ companies across multiple strategies (Europe/Americas, Asia, Strategic Opportunities, Catalyst, Secondaries, Credit, Infrastructure). Confirmed sectors: Technology, Healthcare, Industrials, Financial Services, Consumer/Retail, Distribution, Energy, Manufacturing, Chemicals, Business Services, Sports/Media, Transportation/Infrastructure, Utilities, Building/Construction. HQ location not explicitly stated in source material.</v>
      </c>
    </row>
    <row r="81" spans="1:29" ht="15" hidden="1" customHeight="1" x14ac:dyDescent="0.45">
      <c r="A81" s="4" t="s">
        <v>497</v>
      </c>
      <c r="B81" s="4" t="s">
        <v>44</v>
      </c>
      <c r="C81" s="4"/>
      <c r="D81" s="4"/>
      <c r="E81" s="4" t="s">
        <v>498</v>
      </c>
      <c r="F81" s="4" t="s">
        <v>81</v>
      </c>
      <c r="G81" s="4"/>
      <c r="H81" s="4"/>
      <c r="I81" s="4"/>
      <c r="J81" s="4"/>
      <c r="K81" s="4"/>
      <c r="L81" s="4"/>
      <c r="M81" s="4"/>
      <c r="N81" s="4"/>
      <c r="O81" s="4"/>
      <c r="P81" s="4"/>
      <c r="Q81" s="4"/>
      <c r="R81" s="4"/>
      <c r="S81" s="4"/>
      <c r="T81" s="4" t="s">
        <v>499</v>
      </c>
      <c r="U81" s="4"/>
      <c r="V81" s="4"/>
      <c r="W81" s="4"/>
      <c r="X81" s="4" t="s">
        <v>47</v>
      </c>
      <c r="Y81" s="4" t="s">
        <v>48</v>
      </c>
      <c r="Z81" s="4" t="s">
        <v>441</v>
      </c>
      <c r="AA81" s="4" t="s">
        <v>41</v>
      </c>
      <c r="AB81" s="5" t="s">
        <v>500</v>
      </c>
      <c r="AC81">
        <f>COUNTIF(Sheet1!$A$1:$A$50,Firms!A81)</f>
        <v>0</v>
      </c>
    </row>
    <row r="82" spans="1:29" ht="15" hidden="1" customHeight="1" x14ac:dyDescent="0.45">
      <c r="A82" s="2" t="s">
        <v>501</v>
      </c>
      <c r="B82" s="2" t="s">
        <v>29</v>
      </c>
      <c r="C82" s="2" t="s">
        <v>234</v>
      </c>
      <c r="D82" s="2" t="s">
        <v>235</v>
      </c>
      <c r="E82" s="2" t="s">
        <v>502</v>
      </c>
      <c r="F82" s="2" t="s">
        <v>81</v>
      </c>
      <c r="G82" s="2"/>
      <c r="H82" s="2"/>
      <c r="I82" s="2"/>
      <c r="J82" s="2"/>
      <c r="K82" s="2"/>
      <c r="L82" s="2"/>
      <c r="M82" s="2"/>
      <c r="N82" s="2"/>
      <c r="O82" s="2" t="s">
        <v>32</v>
      </c>
      <c r="P82" s="2" t="s">
        <v>503</v>
      </c>
      <c r="Q82" s="2"/>
      <c r="R82" s="2"/>
      <c r="S82" s="2"/>
      <c r="T82" s="2"/>
      <c r="U82" s="2" t="s">
        <v>35</v>
      </c>
      <c r="V82" s="2" t="s">
        <v>504</v>
      </c>
      <c r="W82" s="2"/>
      <c r="X82" s="2" t="s">
        <v>38</v>
      </c>
      <c r="Y82" s="2" t="s">
        <v>39</v>
      </c>
      <c r="Z82" s="2" t="s">
        <v>40</v>
      </c>
      <c r="AA82" s="2" t="s">
        <v>41</v>
      </c>
      <c r="AB82" s="3" t="s">
        <v>505</v>
      </c>
      <c r="AC82">
        <f>COUNTIF(Sheet1!$A$1:$A$50,Firms!A82)</f>
        <v>0</v>
      </c>
    </row>
    <row r="83" spans="1:29" ht="15" hidden="1" customHeight="1" x14ac:dyDescent="0.45">
      <c r="A83" s="6" t="s">
        <v>506</v>
      </c>
      <c r="B83" s="6" t="s">
        <v>29</v>
      </c>
      <c r="C83" s="6" t="s">
        <v>466</v>
      </c>
      <c r="D83" s="6" t="s">
        <v>467</v>
      </c>
      <c r="E83" s="6" t="s">
        <v>507</v>
      </c>
      <c r="F83" s="6" t="s">
        <v>31</v>
      </c>
      <c r="G83" s="6"/>
      <c r="H83" s="6"/>
      <c r="I83" s="6" t="s">
        <v>69</v>
      </c>
      <c r="J83" s="6"/>
      <c r="K83" s="6"/>
      <c r="L83" s="6"/>
      <c r="M83" s="6" t="s">
        <v>70</v>
      </c>
      <c r="N83" s="6"/>
      <c r="O83" s="6" t="s">
        <v>104</v>
      </c>
      <c r="P83" s="6" t="s">
        <v>508</v>
      </c>
      <c r="Q83" s="6"/>
      <c r="R83" s="6"/>
      <c r="S83" s="6"/>
      <c r="T83" s="6" t="s">
        <v>509</v>
      </c>
      <c r="U83" s="6" t="s">
        <v>35</v>
      </c>
      <c r="V83" s="6"/>
      <c r="W83" s="6"/>
      <c r="X83" s="6" t="s">
        <v>63</v>
      </c>
      <c r="Y83" s="6" t="s">
        <v>39</v>
      </c>
      <c r="Z83" s="6" t="s">
        <v>40</v>
      </c>
      <c r="AA83" s="6" t="s">
        <v>41</v>
      </c>
      <c r="AB83" s="7" t="s">
        <v>510</v>
      </c>
      <c r="AC83">
        <f>COUNTIF(Sheet1!$A$1:$A$50,Firms!A83)</f>
        <v>0</v>
      </c>
    </row>
    <row r="84" spans="1:29" ht="15" hidden="1" customHeight="1" x14ac:dyDescent="0.45">
      <c r="A84" s="2" t="s">
        <v>511</v>
      </c>
      <c r="B84" s="2" t="s">
        <v>29</v>
      </c>
      <c r="C84" s="2"/>
      <c r="D84" s="2" t="s">
        <v>512</v>
      </c>
      <c r="E84" s="2" t="s">
        <v>513</v>
      </c>
      <c r="F84" s="2" t="s">
        <v>405</v>
      </c>
      <c r="G84" s="2"/>
      <c r="H84" s="2"/>
      <c r="I84" s="2"/>
      <c r="J84" s="2"/>
      <c r="K84" s="2"/>
      <c r="L84" s="2"/>
      <c r="M84" s="2"/>
      <c r="N84" s="2" t="s">
        <v>136</v>
      </c>
      <c r="O84" s="2" t="s">
        <v>193</v>
      </c>
      <c r="P84" s="2" t="s">
        <v>351</v>
      </c>
      <c r="Q84" s="2"/>
      <c r="R84" s="2"/>
      <c r="S84" s="2"/>
      <c r="T84" s="2" t="s">
        <v>514</v>
      </c>
      <c r="U84" s="2" t="s">
        <v>35</v>
      </c>
      <c r="V84" s="2" t="s">
        <v>247</v>
      </c>
      <c r="W84" s="2"/>
      <c r="X84" s="2" t="s">
        <v>38</v>
      </c>
      <c r="Y84" s="2" t="s">
        <v>39</v>
      </c>
      <c r="Z84" s="2" t="s">
        <v>40</v>
      </c>
      <c r="AA84" s="2" t="s">
        <v>41</v>
      </c>
      <c r="AB84" s="3" t="s">
        <v>515</v>
      </c>
      <c r="AC84">
        <f>COUNTIF(Sheet1!$A$1:$A$50,Firms!A84)</f>
        <v>0</v>
      </c>
    </row>
    <row r="85" spans="1:29" ht="15" hidden="1" customHeight="1" x14ac:dyDescent="0.45">
      <c r="A85" s="4" t="s">
        <v>516</v>
      </c>
      <c r="B85" s="4" t="s">
        <v>29</v>
      </c>
      <c r="C85" s="4"/>
      <c r="D85" s="4"/>
      <c r="E85" s="4" t="s">
        <v>517</v>
      </c>
      <c r="F85" s="4" t="s">
        <v>31</v>
      </c>
      <c r="G85" s="4"/>
      <c r="H85" s="4"/>
      <c r="I85" s="4"/>
      <c r="J85" s="4"/>
      <c r="K85" s="4"/>
      <c r="L85" s="4"/>
      <c r="M85" s="4"/>
      <c r="N85" s="4"/>
      <c r="O85" s="4"/>
      <c r="P85" s="4" t="s">
        <v>83</v>
      </c>
      <c r="Q85" s="4"/>
      <c r="R85" s="4"/>
      <c r="S85" s="4"/>
      <c r="T85" s="4"/>
      <c r="U85" s="4" t="s">
        <v>35</v>
      </c>
      <c r="V85" s="4"/>
      <c r="W85" s="4"/>
      <c r="X85" s="4" t="s">
        <v>47</v>
      </c>
      <c r="Y85" s="4" t="s">
        <v>48</v>
      </c>
      <c r="Z85" s="4" t="s">
        <v>414</v>
      </c>
      <c r="AA85" s="4" t="s">
        <v>41</v>
      </c>
      <c r="AB85" s="5" t="s">
        <v>518</v>
      </c>
      <c r="AC85">
        <f>COUNTIF(Sheet1!$A$1:$A$50,Firms!A85)</f>
        <v>0</v>
      </c>
    </row>
    <row r="86" spans="1:29" ht="15" hidden="1" customHeight="1" x14ac:dyDescent="0.45">
      <c r="A86" s="2" t="s">
        <v>519</v>
      </c>
      <c r="B86" s="2" t="s">
        <v>29</v>
      </c>
      <c r="C86" s="2"/>
      <c r="D86" s="2"/>
      <c r="E86" s="2" t="s">
        <v>520</v>
      </c>
      <c r="F86" s="2" t="s">
        <v>31</v>
      </c>
      <c r="G86" s="2"/>
      <c r="H86" s="2"/>
      <c r="I86" s="2"/>
      <c r="J86" s="2" t="s">
        <v>56</v>
      </c>
      <c r="K86" s="2"/>
      <c r="L86" s="2"/>
      <c r="M86" s="2"/>
      <c r="N86" s="2"/>
      <c r="O86" s="2" t="s">
        <v>32</v>
      </c>
      <c r="P86" s="2" t="s">
        <v>279</v>
      </c>
      <c r="Q86" s="2"/>
      <c r="R86" s="2"/>
      <c r="S86" s="2"/>
      <c r="T86" s="2"/>
      <c r="U86" s="2" t="s">
        <v>35</v>
      </c>
      <c r="V86" s="2"/>
      <c r="W86" s="2"/>
      <c r="X86" s="2" t="s">
        <v>38</v>
      </c>
      <c r="Y86" s="2" t="s">
        <v>39</v>
      </c>
      <c r="Z86" s="2" t="s">
        <v>40</v>
      </c>
      <c r="AA86" s="2" t="s">
        <v>41</v>
      </c>
      <c r="AB86" s="3" t="s">
        <v>521</v>
      </c>
      <c r="AC86">
        <f>COUNTIF(Sheet1!$A$1:$A$50,Firms!A86)</f>
        <v>0</v>
      </c>
    </row>
    <row r="87" spans="1:29" ht="15" hidden="1" customHeight="1" x14ac:dyDescent="0.45">
      <c r="A87" s="2" t="s">
        <v>522</v>
      </c>
      <c r="B87" s="2" t="s">
        <v>44</v>
      </c>
      <c r="C87" s="2" t="s">
        <v>132</v>
      </c>
      <c r="D87" s="2" t="s">
        <v>133</v>
      </c>
      <c r="E87" s="2" t="s">
        <v>523</v>
      </c>
      <c r="F87" s="2" t="s">
        <v>81</v>
      </c>
      <c r="G87" s="2"/>
      <c r="H87" s="2"/>
      <c r="I87" s="2"/>
      <c r="J87" s="2"/>
      <c r="K87" s="2"/>
      <c r="L87" s="2"/>
      <c r="M87" s="2"/>
      <c r="N87" s="2"/>
      <c r="O87" s="2" t="s">
        <v>524</v>
      </c>
      <c r="P87" s="2" t="s">
        <v>73</v>
      </c>
      <c r="Q87" s="2"/>
      <c r="R87" s="2"/>
      <c r="S87" s="2"/>
      <c r="T87" s="2" t="s">
        <v>525</v>
      </c>
      <c r="U87" s="2" t="s">
        <v>35</v>
      </c>
      <c r="V87" s="2"/>
      <c r="W87" s="2"/>
      <c r="X87" s="2" t="s">
        <v>38</v>
      </c>
      <c r="Y87" s="2" t="s">
        <v>39</v>
      </c>
      <c r="Z87" s="2" t="s">
        <v>40</v>
      </c>
      <c r="AA87" s="2" t="s">
        <v>41</v>
      </c>
      <c r="AB87" s="3" t="s">
        <v>526</v>
      </c>
      <c r="AC87">
        <f>COUNTIF(Sheet1!$A$1:$A$50,Firms!A87)</f>
        <v>0</v>
      </c>
    </row>
    <row r="88" spans="1:29" ht="15" hidden="1" customHeight="1" x14ac:dyDescent="0.45">
      <c r="A88" s="2" t="s">
        <v>527</v>
      </c>
      <c r="B88" s="2" t="s">
        <v>29</v>
      </c>
      <c r="C88" s="2"/>
      <c r="D88" s="2"/>
      <c r="E88" s="2" t="s">
        <v>528</v>
      </c>
      <c r="F88" s="2" t="s">
        <v>81</v>
      </c>
      <c r="G88" s="2"/>
      <c r="H88" s="2"/>
      <c r="I88" s="2"/>
      <c r="J88" s="2"/>
      <c r="K88" s="2"/>
      <c r="L88" s="2"/>
      <c r="M88" s="2"/>
      <c r="N88" s="2"/>
      <c r="O88" s="2" t="s">
        <v>32</v>
      </c>
      <c r="P88" s="2" t="s">
        <v>279</v>
      </c>
      <c r="Q88" s="2"/>
      <c r="R88" s="2"/>
      <c r="S88" s="2"/>
      <c r="T88" s="2" t="s">
        <v>529</v>
      </c>
      <c r="U88" s="2" t="s">
        <v>35</v>
      </c>
      <c r="V88" s="2"/>
      <c r="W88" s="2"/>
      <c r="X88" s="2" t="s">
        <v>38</v>
      </c>
      <c r="Y88" s="2" t="s">
        <v>39</v>
      </c>
      <c r="Z88" s="2" t="s">
        <v>40</v>
      </c>
      <c r="AA88" s="2" t="s">
        <v>41</v>
      </c>
      <c r="AB88" s="3" t="s">
        <v>530</v>
      </c>
      <c r="AC88">
        <f>COUNTIF(Sheet1!$A$1:$A$50,Firms!A88)</f>
        <v>0</v>
      </c>
    </row>
    <row r="89" spans="1:29" ht="15" hidden="1" customHeight="1" x14ac:dyDescent="0.45">
      <c r="A89" s="6" t="s">
        <v>531</v>
      </c>
      <c r="B89" s="6" t="s">
        <v>29</v>
      </c>
      <c r="C89" s="6"/>
      <c r="D89" s="6"/>
      <c r="E89" s="6" t="s">
        <v>532</v>
      </c>
      <c r="F89" s="6" t="s">
        <v>31</v>
      </c>
      <c r="G89" s="6"/>
      <c r="H89" s="6"/>
      <c r="I89" s="6" t="s">
        <v>69</v>
      </c>
      <c r="J89" s="6" t="s">
        <v>110</v>
      </c>
      <c r="K89" s="6"/>
      <c r="L89" s="6"/>
      <c r="M89" s="6"/>
      <c r="N89" s="6"/>
      <c r="O89" s="6" t="s">
        <v>32</v>
      </c>
      <c r="P89" s="6" t="s">
        <v>533</v>
      </c>
      <c r="Q89" s="6"/>
      <c r="R89" s="6"/>
      <c r="S89" s="6"/>
      <c r="T89" s="6" t="s">
        <v>57</v>
      </c>
      <c r="U89" s="6" t="s">
        <v>35</v>
      </c>
      <c r="V89" s="6"/>
      <c r="W89" s="6"/>
      <c r="X89" s="6" t="s">
        <v>63</v>
      </c>
      <c r="Y89" s="6" t="s">
        <v>39</v>
      </c>
      <c r="Z89" s="6" t="s">
        <v>40</v>
      </c>
      <c r="AA89" s="6" t="s">
        <v>41</v>
      </c>
      <c r="AB89" s="7" t="s">
        <v>534</v>
      </c>
      <c r="AC89">
        <f>COUNTIF(Sheet1!$A$1:$A$50,Firms!A89)</f>
        <v>0</v>
      </c>
    </row>
    <row r="90" spans="1:29" ht="15" hidden="1" customHeight="1" x14ac:dyDescent="0.45">
      <c r="A90" s="4" t="s">
        <v>535</v>
      </c>
      <c r="B90" s="4" t="s">
        <v>44</v>
      </c>
      <c r="C90" s="4"/>
      <c r="D90" s="4"/>
      <c r="E90" s="4" t="s">
        <v>536</v>
      </c>
      <c r="F90" s="4"/>
      <c r="G90" s="4"/>
      <c r="H90" s="4"/>
      <c r="I90" s="4"/>
      <c r="J90" s="4"/>
      <c r="K90" s="4"/>
      <c r="L90" s="4"/>
      <c r="M90" s="4"/>
      <c r="N90" s="4"/>
      <c r="O90" s="4"/>
      <c r="P90" s="4" t="s">
        <v>269</v>
      </c>
      <c r="Q90" s="4"/>
      <c r="R90" s="4"/>
      <c r="S90" s="4"/>
      <c r="T90" s="4" t="s">
        <v>537</v>
      </c>
      <c r="U90" s="4" t="s">
        <v>35</v>
      </c>
      <c r="V90" s="4"/>
      <c r="W90" s="4"/>
      <c r="X90" s="4" t="s">
        <v>47</v>
      </c>
      <c r="Y90" s="4" t="s">
        <v>48</v>
      </c>
      <c r="Z90" s="4" t="s">
        <v>40</v>
      </c>
      <c r="AA90" s="4" t="s">
        <v>41</v>
      </c>
      <c r="AB90" s="5" t="s">
        <v>538</v>
      </c>
      <c r="AC90">
        <f>COUNTIF(Sheet1!$A$1:$A$50,Firms!A90)</f>
        <v>0</v>
      </c>
    </row>
    <row r="91" spans="1:29" ht="15" hidden="1" customHeight="1" x14ac:dyDescent="0.45">
      <c r="A91" s="2" t="s">
        <v>539</v>
      </c>
      <c r="B91" s="2" t="s">
        <v>29</v>
      </c>
      <c r="C91" s="2"/>
      <c r="D91" s="2"/>
      <c r="E91" s="2" t="s">
        <v>540</v>
      </c>
      <c r="F91" s="2"/>
      <c r="G91" s="2"/>
      <c r="H91" s="2"/>
      <c r="I91" s="2"/>
      <c r="J91" s="2"/>
      <c r="K91" s="2"/>
      <c r="L91" s="2"/>
      <c r="M91" s="2"/>
      <c r="N91" s="2"/>
      <c r="O91" s="2" t="s">
        <v>32</v>
      </c>
      <c r="P91" s="2" t="s">
        <v>73</v>
      </c>
      <c r="Q91" s="2"/>
      <c r="R91" s="2"/>
      <c r="S91" s="2"/>
      <c r="T91" s="2"/>
      <c r="U91" s="2" t="s">
        <v>35</v>
      </c>
      <c r="V91" s="2"/>
      <c r="W91" s="2"/>
      <c r="X91" s="2" t="s">
        <v>38</v>
      </c>
      <c r="Y91" s="2" t="s">
        <v>39</v>
      </c>
      <c r="Z91" s="2" t="s">
        <v>40</v>
      </c>
      <c r="AA91" s="2" t="s">
        <v>41</v>
      </c>
      <c r="AB91" s="3" t="s">
        <v>541</v>
      </c>
      <c r="AC91">
        <f>COUNTIF(Sheet1!$A$1:$A$50,Firms!A91)</f>
        <v>0</v>
      </c>
    </row>
    <row r="92" spans="1:29" ht="15" hidden="1" customHeight="1" x14ac:dyDescent="0.45">
      <c r="A92" s="2" t="s">
        <v>542</v>
      </c>
      <c r="B92" s="2" t="s">
        <v>29</v>
      </c>
      <c r="C92" s="2" t="s">
        <v>331</v>
      </c>
      <c r="D92" s="2" t="s">
        <v>332</v>
      </c>
      <c r="E92" s="2" t="s">
        <v>543</v>
      </c>
      <c r="F92" s="2" t="s">
        <v>31</v>
      </c>
      <c r="G92" s="2"/>
      <c r="H92" s="2"/>
      <c r="I92" s="2"/>
      <c r="J92" s="2"/>
      <c r="K92" s="2"/>
      <c r="L92" s="2"/>
      <c r="M92" s="2"/>
      <c r="N92" s="2"/>
      <c r="O92" s="2" t="s">
        <v>32</v>
      </c>
      <c r="P92" s="2" t="s">
        <v>544</v>
      </c>
      <c r="Q92" s="2"/>
      <c r="R92" s="2"/>
      <c r="S92" s="2"/>
      <c r="T92" s="2" t="s">
        <v>545</v>
      </c>
      <c r="U92" s="2" t="s">
        <v>35</v>
      </c>
      <c r="V92" s="2"/>
      <c r="W92" s="2"/>
      <c r="X92" s="2" t="s">
        <v>38</v>
      </c>
      <c r="Y92" s="2" t="s">
        <v>39</v>
      </c>
      <c r="Z92" s="2" t="s">
        <v>40</v>
      </c>
      <c r="AA92" s="2" t="s">
        <v>41</v>
      </c>
      <c r="AB92" s="3" t="s">
        <v>546</v>
      </c>
      <c r="AC92">
        <f>COUNTIF(Sheet1!$A$1:$A$50,Firms!A92)</f>
        <v>0</v>
      </c>
    </row>
    <row r="93" spans="1:29" ht="15" hidden="1" customHeight="1" x14ac:dyDescent="0.45">
      <c r="A93" s="4" t="s">
        <v>547</v>
      </c>
      <c r="B93" s="4" t="s">
        <v>29</v>
      </c>
      <c r="C93" s="4"/>
      <c r="D93" s="4"/>
      <c r="E93" s="4" t="s">
        <v>548</v>
      </c>
      <c r="F93" s="4" t="s">
        <v>81</v>
      </c>
      <c r="G93" s="4"/>
      <c r="H93" s="4"/>
      <c r="I93" s="4"/>
      <c r="J93" s="4"/>
      <c r="K93" s="4"/>
      <c r="L93" s="4"/>
      <c r="M93" s="4"/>
      <c r="N93" s="4"/>
      <c r="O93" s="4" t="s">
        <v>32</v>
      </c>
      <c r="P93" s="4" t="s">
        <v>549</v>
      </c>
      <c r="Q93" s="4"/>
      <c r="R93" s="4"/>
      <c r="S93" s="4"/>
      <c r="T93" s="4" t="s">
        <v>550</v>
      </c>
      <c r="U93" s="4" t="s">
        <v>35</v>
      </c>
      <c r="V93" s="4"/>
      <c r="W93" s="4"/>
      <c r="X93" s="4" t="s">
        <v>38</v>
      </c>
      <c r="Y93" s="4" t="s">
        <v>48</v>
      </c>
      <c r="Z93" s="4" t="s">
        <v>40</v>
      </c>
      <c r="AA93" s="4" t="s">
        <v>41</v>
      </c>
      <c r="AB93" s="5" t="s">
        <v>551</v>
      </c>
      <c r="AC93">
        <f>COUNTIF(Sheet1!$A$1:$A$50,Firms!A93)</f>
        <v>0</v>
      </c>
    </row>
    <row r="94" spans="1:29" ht="15" hidden="1" customHeight="1" x14ac:dyDescent="0.45">
      <c r="A94" s="4" t="s">
        <v>552</v>
      </c>
      <c r="B94" s="4" t="s">
        <v>29</v>
      </c>
      <c r="C94" s="4" t="s">
        <v>331</v>
      </c>
      <c r="D94" s="4" t="s">
        <v>332</v>
      </c>
      <c r="E94" s="4" t="s">
        <v>553</v>
      </c>
      <c r="F94" s="4"/>
      <c r="G94" s="4"/>
      <c r="H94" s="4"/>
      <c r="I94" s="4"/>
      <c r="J94" s="4"/>
      <c r="K94" s="4"/>
      <c r="L94" s="4"/>
      <c r="M94" s="4"/>
      <c r="N94" s="4"/>
      <c r="O94" s="4"/>
      <c r="P94" s="4" t="s">
        <v>554</v>
      </c>
      <c r="Q94" s="4"/>
      <c r="R94" s="4"/>
      <c r="S94" s="4"/>
      <c r="T94" s="4"/>
      <c r="U94" s="4" t="s">
        <v>35</v>
      </c>
      <c r="V94" s="4"/>
      <c r="W94" s="4"/>
      <c r="X94" s="4" t="s">
        <v>47</v>
      </c>
      <c r="Y94" s="4" t="s">
        <v>48</v>
      </c>
      <c r="Z94" s="4" t="s">
        <v>40</v>
      </c>
      <c r="AA94" s="4" t="s">
        <v>41</v>
      </c>
      <c r="AB94" s="5" t="s">
        <v>555</v>
      </c>
      <c r="AC94">
        <f>COUNTIF(Sheet1!$A$1:$A$50,Firms!A94)</f>
        <v>0</v>
      </c>
    </row>
    <row r="95" spans="1:29" ht="15" hidden="1" customHeight="1" x14ac:dyDescent="0.45">
      <c r="A95" s="2" t="s">
        <v>556</v>
      </c>
      <c r="B95" s="2" t="s">
        <v>402</v>
      </c>
      <c r="C95" s="2" t="s">
        <v>101</v>
      </c>
      <c r="D95" s="2" t="s">
        <v>557</v>
      </c>
      <c r="E95" s="2" t="s">
        <v>558</v>
      </c>
      <c r="F95" s="2" t="s">
        <v>31</v>
      </c>
      <c r="G95" s="2"/>
      <c r="H95" s="2"/>
      <c r="I95" s="2"/>
      <c r="J95" s="2"/>
      <c r="K95" s="2"/>
      <c r="L95" s="2"/>
      <c r="M95" s="2"/>
      <c r="N95" s="2"/>
      <c r="O95" s="2" t="s">
        <v>406</v>
      </c>
      <c r="P95" s="2" t="s">
        <v>105</v>
      </c>
      <c r="Q95" s="2"/>
      <c r="R95" s="2"/>
      <c r="S95" s="2"/>
      <c r="T95" s="2"/>
      <c r="U95" s="2" t="s">
        <v>35</v>
      </c>
      <c r="V95" s="2" t="s">
        <v>559</v>
      </c>
      <c r="W95" s="2"/>
      <c r="X95" s="2" t="s">
        <v>38</v>
      </c>
      <c r="Y95" s="2" t="s">
        <v>39</v>
      </c>
      <c r="Z95" s="2" t="s">
        <v>40</v>
      </c>
      <c r="AA95" s="2" t="s">
        <v>41</v>
      </c>
      <c r="AB95" s="3" t="s">
        <v>560</v>
      </c>
      <c r="AC95">
        <f>COUNTIF(Sheet1!$A$1:$A$50,Firms!A95)</f>
        <v>0</v>
      </c>
    </row>
    <row r="96" spans="1:29" ht="15" hidden="1" customHeight="1" x14ac:dyDescent="0.45">
      <c r="A96" s="6" t="s">
        <v>561</v>
      </c>
      <c r="B96" s="6" t="s">
        <v>29</v>
      </c>
      <c r="C96" s="6"/>
      <c r="D96" s="6"/>
      <c r="E96" s="6" t="s">
        <v>562</v>
      </c>
      <c r="F96" s="6" t="s">
        <v>31</v>
      </c>
      <c r="G96" s="6" t="s">
        <v>58</v>
      </c>
      <c r="H96" s="6" t="s">
        <v>563</v>
      </c>
      <c r="I96" s="6"/>
      <c r="J96" s="6" t="s">
        <v>564</v>
      </c>
      <c r="K96" s="6"/>
      <c r="L96" s="6"/>
      <c r="M96" s="6" t="s">
        <v>54</v>
      </c>
      <c r="N96" s="6" t="s">
        <v>55</v>
      </c>
      <c r="O96" s="6" t="s">
        <v>72</v>
      </c>
      <c r="P96" s="6" t="s">
        <v>549</v>
      </c>
      <c r="Q96" s="6"/>
      <c r="R96" s="6"/>
      <c r="S96" s="6"/>
      <c r="T96" s="6" t="s">
        <v>565</v>
      </c>
      <c r="U96" s="6" t="s">
        <v>35</v>
      </c>
      <c r="V96" s="6"/>
      <c r="W96" s="6"/>
      <c r="X96" s="6" t="s">
        <v>63</v>
      </c>
      <c r="Y96" s="6" t="s">
        <v>39</v>
      </c>
      <c r="Z96" s="6" t="s">
        <v>40</v>
      </c>
      <c r="AA96" s="6" t="s">
        <v>41</v>
      </c>
      <c r="AB96" s="7" t="s">
        <v>566</v>
      </c>
      <c r="AC96">
        <f>COUNTIF(Sheet1!$A$1:$A$50,Firms!A96)</f>
        <v>0</v>
      </c>
    </row>
    <row r="97" spans="1:30" ht="15" hidden="1" customHeight="1" x14ac:dyDescent="0.45">
      <c r="A97" s="2" t="s">
        <v>567</v>
      </c>
      <c r="B97" s="2" t="s">
        <v>29</v>
      </c>
      <c r="C97" s="2"/>
      <c r="D97" s="2"/>
      <c r="E97" s="2" t="s">
        <v>568</v>
      </c>
      <c r="F97" s="2" t="s">
        <v>81</v>
      </c>
      <c r="G97" s="2"/>
      <c r="H97" s="2"/>
      <c r="I97" s="2"/>
      <c r="J97" s="2"/>
      <c r="K97" s="2"/>
      <c r="L97" s="2"/>
      <c r="M97" s="2"/>
      <c r="N97" s="2"/>
      <c r="O97" s="2" t="s">
        <v>32</v>
      </c>
      <c r="P97" s="2" t="s">
        <v>46</v>
      </c>
      <c r="Q97" s="2"/>
      <c r="R97" s="2"/>
      <c r="S97" s="2"/>
      <c r="T97" s="2"/>
      <c r="U97" s="2" t="s">
        <v>35</v>
      </c>
      <c r="V97" s="2"/>
      <c r="W97" s="2"/>
      <c r="X97" s="2" t="s">
        <v>38</v>
      </c>
      <c r="Y97" s="2" t="s">
        <v>39</v>
      </c>
      <c r="Z97" s="2" t="s">
        <v>40</v>
      </c>
      <c r="AA97" s="2" t="s">
        <v>41</v>
      </c>
      <c r="AB97" s="3" t="s">
        <v>569</v>
      </c>
      <c r="AC97">
        <f>COUNTIF(Sheet1!$A$1:$A$50,Firms!A97)</f>
        <v>0</v>
      </c>
    </row>
    <row r="98" spans="1:30" ht="15" customHeight="1" x14ac:dyDescent="0.45">
      <c r="A98" s="6" t="s">
        <v>570</v>
      </c>
      <c r="B98" s="6" t="s">
        <v>29</v>
      </c>
      <c r="C98" s="6" t="s">
        <v>132</v>
      </c>
      <c r="D98" s="6" t="s">
        <v>388</v>
      </c>
      <c r="E98" s="6" t="s">
        <v>571</v>
      </c>
      <c r="F98" s="6" t="s">
        <v>31</v>
      </c>
      <c r="G98" s="6"/>
      <c r="H98" s="6"/>
      <c r="I98" s="6" t="s">
        <v>69</v>
      </c>
      <c r="J98" s="6" t="s">
        <v>137</v>
      </c>
      <c r="K98" s="6"/>
      <c r="L98" s="6" t="s">
        <v>572</v>
      </c>
      <c r="M98" s="6"/>
      <c r="N98" s="6"/>
      <c r="O98" s="6" t="s">
        <v>32</v>
      </c>
      <c r="P98" s="6" t="s">
        <v>279</v>
      </c>
      <c r="Q98" s="6"/>
      <c r="R98" s="6"/>
      <c r="S98" s="6"/>
      <c r="T98" s="6"/>
      <c r="U98" s="6" t="s">
        <v>35</v>
      </c>
      <c r="V98" s="6"/>
      <c r="W98" s="6"/>
      <c r="X98" s="6" t="s">
        <v>63</v>
      </c>
      <c r="Y98" s="6" t="s">
        <v>39</v>
      </c>
      <c r="Z98" s="6" t="s">
        <v>40</v>
      </c>
      <c r="AA98" s="6" t="s">
        <v>41</v>
      </c>
      <c r="AB98" s="7" t="s">
        <v>573</v>
      </c>
      <c r="AC98">
        <f>COUNTIF(Sheet1!$A$1:$A$50,Firms!A98)</f>
        <v>1</v>
      </c>
      <c r="AD98" t="str">
        <f>SUBSTITUTE(AB98,"Seeded from CapIQ export. Numeric fields are regex first-pass — c","C")</f>
        <v>Crawler will confirm. capiq_description preserved for AI extraction fallback. | [extractor] PE firm focused on industrials sector with explicit investment criteria. Target platform investments: $5-20M EBITDA, transaction values up to $250M, control transactions, North America HQ, conservative capital structures. Three focus areas: Aerospace &amp; Defense, Industrial Products &amp; Services, Niche Products &amp; Services. Low disruption risk, large installed base, consumables, high visibility, diversified customer base, barriers to entry emphasized. Control acquisitions with repeatable value creation strategy.</v>
      </c>
    </row>
    <row r="99" spans="1:30" ht="15" hidden="1" customHeight="1" x14ac:dyDescent="0.45">
      <c r="A99" s="4" t="s">
        <v>574</v>
      </c>
      <c r="B99" s="4" t="s">
        <v>29</v>
      </c>
      <c r="C99" s="4" t="s">
        <v>132</v>
      </c>
      <c r="D99" s="4" t="s">
        <v>133</v>
      </c>
      <c r="E99" s="4" t="s">
        <v>575</v>
      </c>
      <c r="F99" s="4" t="s">
        <v>81</v>
      </c>
      <c r="G99" s="4"/>
      <c r="H99" s="4"/>
      <c r="I99" s="4"/>
      <c r="J99" s="4"/>
      <c r="K99" s="4"/>
      <c r="L99" s="4"/>
      <c r="M99" s="4"/>
      <c r="N99" s="4"/>
      <c r="O99" s="4" t="s">
        <v>576</v>
      </c>
      <c r="P99" s="4" t="s">
        <v>73</v>
      </c>
      <c r="Q99" s="4"/>
      <c r="R99" s="4"/>
      <c r="S99" s="4"/>
      <c r="T99" s="4" t="s">
        <v>577</v>
      </c>
      <c r="U99" s="4" t="s">
        <v>35</v>
      </c>
      <c r="V99" s="4"/>
      <c r="W99" s="4"/>
      <c r="X99" s="4" t="s">
        <v>47</v>
      </c>
      <c r="Y99" s="4" t="s">
        <v>48</v>
      </c>
      <c r="Z99" s="4" t="s">
        <v>40</v>
      </c>
      <c r="AA99" s="4" t="s">
        <v>41</v>
      </c>
      <c r="AB99" s="5" t="s">
        <v>578</v>
      </c>
      <c r="AC99">
        <f>COUNTIF(Sheet1!$A$1:$A$50,Firms!A99)</f>
        <v>0</v>
      </c>
    </row>
    <row r="100" spans="1:30" ht="15" hidden="1" customHeight="1" x14ac:dyDescent="0.45">
      <c r="A100" s="2" t="s">
        <v>579</v>
      </c>
      <c r="B100" s="2" t="s">
        <v>29</v>
      </c>
      <c r="C100" s="2"/>
      <c r="D100" s="2"/>
      <c r="E100" s="2" t="s">
        <v>580</v>
      </c>
      <c r="F100" s="2" t="s">
        <v>31</v>
      </c>
      <c r="G100" s="2"/>
      <c r="H100" s="2"/>
      <c r="I100" s="2"/>
      <c r="J100" s="2"/>
      <c r="K100" s="2"/>
      <c r="L100" s="2"/>
      <c r="M100" s="2"/>
      <c r="N100" s="2"/>
      <c r="O100" s="2" t="s">
        <v>32</v>
      </c>
      <c r="P100" s="2" t="s">
        <v>581</v>
      </c>
      <c r="Q100" s="2" t="s">
        <v>582</v>
      </c>
      <c r="R100" s="2"/>
      <c r="S100" s="2"/>
      <c r="T100" s="2"/>
      <c r="U100" s="2" t="s">
        <v>35</v>
      </c>
      <c r="V100" s="2" t="s">
        <v>559</v>
      </c>
      <c r="W100" s="2"/>
      <c r="X100" s="2" t="s">
        <v>38</v>
      </c>
      <c r="Y100" s="2" t="s">
        <v>39</v>
      </c>
      <c r="Z100" s="2" t="s">
        <v>40</v>
      </c>
      <c r="AA100" s="2" t="s">
        <v>41</v>
      </c>
      <c r="AB100" s="3" t="s">
        <v>583</v>
      </c>
      <c r="AC100">
        <f>COUNTIF(Sheet1!$A$1:$A$50,Firms!A100)</f>
        <v>0</v>
      </c>
    </row>
    <row r="101" spans="1:30" ht="15" customHeight="1" x14ac:dyDescent="0.45">
      <c r="A101" s="2" t="s">
        <v>584</v>
      </c>
      <c r="B101" s="2" t="s">
        <v>29</v>
      </c>
      <c r="C101" s="2"/>
      <c r="D101" s="2"/>
      <c r="E101" s="2" t="s">
        <v>585</v>
      </c>
      <c r="F101" s="2" t="s">
        <v>31</v>
      </c>
      <c r="G101" s="2"/>
      <c r="H101" s="2"/>
      <c r="I101" s="2"/>
      <c r="J101" s="2"/>
      <c r="K101" s="2"/>
      <c r="L101" s="2"/>
      <c r="M101" s="2"/>
      <c r="N101" s="2"/>
      <c r="O101" s="2" t="s">
        <v>32</v>
      </c>
      <c r="P101" s="2" t="s">
        <v>494</v>
      </c>
      <c r="Q101" s="2"/>
      <c r="R101" s="2"/>
      <c r="S101" s="2"/>
      <c r="T101" s="2" t="s">
        <v>586</v>
      </c>
      <c r="U101" s="2" t="s">
        <v>35</v>
      </c>
      <c r="V101" s="2"/>
      <c r="W101" s="2"/>
      <c r="X101" s="2" t="s">
        <v>38</v>
      </c>
      <c r="Y101" s="2" t="s">
        <v>39</v>
      </c>
      <c r="Z101" s="2" t="s">
        <v>40</v>
      </c>
      <c r="AA101" s="2" t="s">
        <v>41</v>
      </c>
      <c r="AB101" s="3" t="s">
        <v>587</v>
      </c>
      <c r="AC101">
        <f>COUNTIF(Sheet1!$A$1:$A$50,Firms!A101)</f>
        <v>1</v>
      </c>
      <c r="AD101" t="str">
        <f>SUBSTITUTE(AB101,"Seeded from CapIQ export. Numeric fields are regex first-pass — c","C")</f>
        <v>Crawler will confirm. capiq_description preserved for AI extraction fallback. | [extractor] Clearlake Capital Group is a PE firm with diverse portfolio spanning 100+ companies across technology, healthcare, industrials, and other sectors. Portfolio page confirms control-oriented buyout strategy. HQ location and specific fund details not found on provided content. Primarily US-focused investments based on portfolio composition.</v>
      </c>
    </row>
    <row r="102" spans="1:30" ht="15" hidden="1" customHeight="1" x14ac:dyDescent="0.45">
      <c r="A102" s="2" t="s">
        <v>588</v>
      </c>
      <c r="B102" s="2" t="s">
        <v>29</v>
      </c>
      <c r="C102" s="2" t="s">
        <v>331</v>
      </c>
      <c r="D102" s="2" t="s">
        <v>332</v>
      </c>
      <c r="E102" s="2" t="s">
        <v>589</v>
      </c>
      <c r="F102" s="2" t="s">
        <v>81</v>
      </c>
      <c r="G102" s="2"/>
      <c r="H102" s="2"/>
      <c r="I102" s="2"/>
      <c r="J102" s="2"/>
      <c r="K102" s="2"/>
      <c r="L102" s="2"/>
      <c r="M102" s="2"/>
      <c r="N102" s="2"/>
      <c r="O102" s="2" t="s">
        <v>313</v>
      </c>
      <c r="P102" s="2" t="s">
        <v>279</v>
      </c>
      <c r="Q102" s="2"/>
      <c r="R102" s="2"/>
      <c r="S102" s="2"/>
      <c r="T102" s="2" t="s">
        <v>590</v>
      </c>
      <c r="U102" s="2" t="s">
        <v>35</v>
      </c>
      <c r="V102" s="2"/>
      <c r="W102" s="2"/>
      <c r="X102" s="2" t="s">
        <v>38</v>
      </c>
      <c r="Y102" s="2" t="s">
        <v>39</v>
      </c>
      <c r="Z102" s="2" t="s">
        <v>40</v>
      </c>
      <c r="AA102" s="2" t="s">
        <v>41</v>
      </c>
      <c r="AB102" s="3" t="s">
        <v>591</v>
      </c>
      <c r="AC102">
        <f>COUNTIF(Sheet1!$A$1:$A$50,Firms!A102)</f>
        <v>0</v>
      </c>
    </row>
    <row r="103" spans="1:30" ht="15" hidden="1" customHeight="1" x14ac:dyDescent="0.45">
      <c r="A103" s="6" t="s">
        <v>592</v>
      </c>
      <c r="B103" s="6" t="s">
        <v>29</v>
      </c>
      <c r="C103" s="6"/>
      <c r="D103" s="6"/>
      <c r="E103" s="6" t="s">
        <v>593</v>
      </c>
      <c r="F103" s="6" t="s">
        <v>31</v>
      </c>
      <c r="G103" s="6" t="s">
        <v>58</v>
      </c>
      <c r="H103" s="6"/>
      <c r="I103" s="6" t="s">
        <v>69</v>
      </c>
      <c r="J103" s="6"/>
      <c r="K103" s="6"/>
      <c r="L103" s="6"/>
      <c r="M103" s="6"/>
      <c r="N103" s="6"/>
      <c r="O103" s="6" t="s">
        <v>594</v>
      </c>
      <c r="P103" s="6" t="s">
        <v>595</v>
      </c>
      <c r="Q103" s="6" t="s">
        <v>596</v>
      </c>
      <c r="R103" s="6" t="s">
        <v>597</v>
      </c>
      <c r="S103" s="6"/>
      <c r="T103" s="6" t="s">
        <v>598</v>
      </c>
      <c r="U103" s="6" t="s">
        <v>35</v>
      </c>
      <c r="V103" s="6"/>
      <c r="W103" s="6"/>
      <c r="X103" s="6" t="s">
        <v>63</v>
      </c>
      <c r="Y103" s="6" t="s">
        <v>39</v>
      </c>
      <c r="Z103" s="6" t="s">
        <v>40</v>
      </c>
      <c r="AA103" s="6" t="s">
        <v>41</v>
      </c>
      <c r="AB103" s="7" t="s">
        <v>599</v>
      </c>
      <c r="AC103">
        <f>COUNTIF(Sheet1!$A$1:$A$50,Firms!A103)</f>
        <v>0</v>
      </c>
    </row>
    <row r="104" spans="1:30" ht="15" hidden="1" customHeight="1" x14ac:dyDescent="0.45">
      <c r="A104" s="6" t="s">
        <v>600</v>
      </c>
      <c r="B104" s="6" t="s">
        <v>29</v>
      </c>
      <c r="C104" s="6"/>
      <c r="D104" s="6"/>
      <c r="E104" s="6" t="s">
        <v>601</v>
      </c>
      <c r="F104" s="6" t="s">
        <v>81</v>
      </c>
      <c r="G104" s="6"/>
      <c r="H104" s="6"/>
      <c r="I104" s="6"/>
      <c r="J104" s="6"/>
      <c r="K104" s="6"/>
      <c r="L104" s="6"/>
      <c r="M104" s="6" t="s">
        <v>55</v>
      </c>
      <c r="N104" s="6" t="s">
        <v>456</v>
      </c>
      <c r="O104" s="6" t="s">
        <v>32</v>
      </c>
      <c r="P104" s="6" t="s">
        <v>503</v>
      </c>
      <c r="Q104" s="6"/>
      <c r="R104" s="6"/>
      <c r="S104" s="6"/>
      <c r="T104" s="6" t="s">
        <v>602</v>
      </c>
      <c r="U104" s="6" t="s">
        <v>35</v>
      </c>
      <c r="V104" s="6" t="s">
        <v>559</v>
      </c>
      <c r="W104" s="6"/>
      <c r="X104" s="6" t="s">
        <v>63</v>
      </c>
      <c r="Y104" s="6" t="s">
        <v>39</v>
      </c>
      <c r="Z104" s="6" t="s">
        <v>40</v>
      </c>
      <c r="AA104" s="6" t="s">
        <v>41</v>
      </c>
      <c r="AB104" s="7" t="s">
        <v>603</v>
      </c>
      <c r="AC104">
        <f>COUNTIF(Sheet1!$A$1:$A$50,Firms!A104)</f>
        <v>0</v>
      </c>
    </row>
    <row r="105" spans="1:30" ht="15" hidden="1" customHeight="1" x14ac:dyDescent="0.45">
      <c r="A105" s="6" t="s">
        <v>604</v>
      </c>
      <c r="B105" s="6" t="s">
        <v>29</v>
      </c>
      <c r="C105" s="6" t="s">
        <v>101</v>
      </c>
      <c r="D105" s="6" t="s">
        <v>557</v>
      </c>
      <c r="E105" s="6" t="s">
        <v>605</v>
      </c>
      <c r="F105" s="6" t="s">
        <v>31</v>
      </c>
      <c r="G105" s="6" t="s">
        <v>69</v>
      </c>
      <c r="H105" s="6" t="s">
        <v>572</v>
      </c>
      <c r="I105" s="6" t="s">
        <v>69</v>
      </c>
      <c r="J105" s="6" t="s">
        <v>564</v>
      </c>
      <c r="K105" s="6" t="s">
        <v>137</v>
      </c>
      <c r="L105" s="6" t="s">
        <v>59</v>
      </c>
      <c r="M105" s="6"/>
      <c r="N105" s="6"/>
      <c r="O105" s="6" t="s">
        <v>32</v>
      </c>
      <c r="P105" s="6" t="s">
        <v>279</v>
      </c>
      <c r="Q105" s="6"/>
      <c r="R105" s="6"/>
      <c r="S105" s="6"/>
      <c r="T105" s="6" t="s">
        <v>606</v>
      </c>
      <c r="U105" s="6" t="s">
        <v>35</v>
      </c>
      <c r="V105" s="6"/>
      <c r="W105" s="6"/>
      <c r="X105" s="6" t="s">
        <v>63</v>
      </c>
      <c r="Y105" s="6" t="s">
        <v>39</v>
      </c>
      <c r="Z105" s="6" t="s">
        <v>40</v>
      </c>
      <c r="AA105" s="6" t="s">
        <v>41</v>
      </c>
      <c r="AB105" s="7" t="s">
        <v>607</v>
      </c>
      <c r="AC105">
        <f>COUNTIF(Sheet1!$A$1:$A$50,Firms!A105)</f>
        <v>0</v>
      </c>
    </row>
    <row r="106" spans="1:30" ht="15" customHeight="1" x14ac:dyDescent="0.45">
      <c r="A106" s="6" t="s">
        <v>608</v>
      </c>
      <c r="B106" s="6" t="s">
        <v>29</v>
      </c>
      <c r="C106" s="6" t="s">
        <v>609</v>
      </c>
      <c r="D106" s="6" t="s">
        <v>610</v>
      </c>
      <c r="E106" s="6" t="s">
        <v>611</v>
      </c>
      <c r="F106" s="6" t="s">
        <v>31</v>
      </c>
      <c r="G106" s="6" t="s">
        <v>192</v>
      </c>
      <c r="H106" s="6" t="s">
        <v>70</v>
      </c>
      <c r="I106" s="6" t="s">
        <v>125</v>
      </c>
      <c r="J106" s="6" t="s">
        <v>165</v>
      </c>
      <c r="K106" s="6"/>
      <c r="L106" s="6"/>
      <c r="M106" s="6"/>
      <c r="N106" s="6"/>
      <c r="O106" s="6" t="s">
        <v>32</v>
      </c>
      <c r="P106" s="6" t="s">
        <v>111</v>
      </c>
      <c r="Q106" s="6"/>
      <c r="R106" s="6"/>
      <c r="S106" s="6"/>
      <c r="T106" s="6"/>
      <c r="U106" s="6" t="s">
        <v>35</v>
      </c>
      <c r="V106" s="6" t="s">
        <v>612</v>
      </c>
      <c r="W106" s="6"/>
      <c r="X106" s="6" t="s">
        <v>63</v>
      </c>
      <c r="Y106" s="6" t="s">
        <v>39</v>
      </c>
      <c r="Z106" s="6" t="s">
        <v>40</v>
      </c>
      <c r="AA106" s="6" t="s">
        <v>41</v>
      </c>
      <c r="AB106" s="7" t="s">
        <v>613</v>
      </c>
      <c r="AC106">
        <f>COUNTIF(Sheet1!$A$1:$A$50,Firms!A106)</f>
        <v>1</v>
      </c>
      <c r="AD106" t="str">
        <f>SUBSTITUTE(AB106,"Seeded from CapIQ export. Numeric fields are regex first-pass — c","C")</f>
        <v>Crawler will confirm. capiq_description preserved for AI extraction fallback. | [extractor] Permanent capital acquirer focused on control buyouts of manufacturing/industrial service companies in Great Lakes region (especially within drive of Detroit). Explicit criteria: $2–4M EBITDA, $10–50M+ platform revenue, &gt;10% free cash flow margins, recurring revenue model. Founded 2017, completed 6+ acquisitions, 4 active portfolio companies as of latest update. Lead investor Jason Duzan has 25+ years Great Lakes transaction experience. PDF overview available: https://colfaxcreek.com/wp-content/uploads/2026/02/2-Pager-ColfaxCreek-Industrial-Overview-v2026-02.pdf</v>
      </c>
    </row>
    <row r="107" spans="1:30" ht="15" hidden="1" customHeight="1" x14ac:dyDescent="0.45">
      <c r="A107" s="2" t="s">
        <v>614</v>
      </c>
      <c r="B107" s="2" t="s">
        <v>29</v>
      </c>
      <c r="C107" s="2" t="s">
        <v>331</v>
      </c>
      <c r="D107" s="2" t="s">
        <v>332</v>
      </c>
      <c r="E107" s="2" t="s">
        <v>615</v>
      </c>
      <c r="F107" s="2" t="s">
        <v>31</v>
      </c>
      <c r="G107" s="2"/>
      <c r="H107" s="2"/>
      <c r="I107" s="2" t="s">
        <v>135</v>
      </c>
      <c r="J107" s="2" t="s">
        <v>54</v>
      </c>
      <c r="K107" s="2"/>
      <c r="L107" s="2"/>
      <c r="M107" s="2" t="s">
        <v>69</v>
      </c>
      <c r="N107" s="2"/>
      <c r="O107" s="2" t="s">
        <v>193</v>
      </c>
      <c r="P107" s="2" t="s">
        <v>616</v>
      </c>
      <c r="Q107" s="2" t="s">
        <v>617</v>
      </c>
      <c r="R107" s="2"/>
      <c r="S107" s="2"/>
      <c r="T107" s="2"/>
      <c r="U107" s="2" t="s">
        <v>35</v>
      </c>
      <c r="V107" s="2"/>
      <c r="W107" s="2"/>
      <c r="X107" s="2" t="s">
        <v>38</v>
      </c>
      <c r="Y107" s="2" t="s">
        <v>39</v>
      </c>
      <c r="Z107" s="2" t="s">
        <v>414</v>
      </c>
      <c r="AA107" s="2" t="s">
        <v>41</v>
      </c>
      <c r="AB107" s="3" t="s">
        <v>618</v>
      </c>
      <c r="AC107">
        <f>COUNTIF(Sheet1!$A$1:$A$50,Firms!A107)</f>
        <v>0</v>
      </c>
    </row>
    <row r="108" spans="1:30" ht="15" hidden="1" customHeight="1" x14ac:dyDescent="0.45">
      <c r="A108" s="4" t="s">
        <v>619</v>
      </c>
      <c r="B108" s="4" t="s">
        <v>44</v>
      </c>
      <c r="C108" s="4"/>
      <c r="D108" s="4"/>
      <c r="E108" s="4" t="s">
        <v>620</v>
      </c>
      <c r="F108" s="4"/>
      <c r="G108" s="4"/>
      <c r="H108" s="4"/>
      <c r="I108" s="4"/>
      <c r="J108" s="4"/>
      <c r="K108" s="4"/>
      <c r="L108" s="4"/>
      <c r="M108" s="4"/>
      <c r="N108" s="4"/>
      <c r="O108" s="4"/>
      <c r="P108" s="4" t="s">
        <v>197</v>
      </c>
      <c r="Q108" s="4"/>
      <c r="R108" s="4"/>
      <c r="S108" s="4"/>
      <c r="T108" s="4" t="s">
        <v>621</v>
      </c>
      <c r="U108" s="4" t="s">
        <v>35</v>
      </c>
      <c r="V108" s="4"/>
      <c r="W108" s="4"/>
      <c r="X108" s="4" t="s">
        <v>47</v>
      </c>
      <c r="Y108" s="4" t="s">
        <v>48</v>
      </c>
      <c r="Z108" s="4" t="s">
        <v>40</v>
      </c>
      <c r="AA108" s="4" t="s">
        <v>41</v>
      </c>
      <c r="AB108" s="5" t="s">
        <v>622</v>
      </c>
      <c r="AC108">
        <f>COUNTIF(Sheet1!$A$1:$A$50,Firms!A108)</f>
        <v>0</v>
      </c>
    </row>
    <row r="109" spans="1:30" ht="15" hidden="1" customHeight="1" x14ac:dyDescent="0.45">
      <c r="A109" s="2" t="s">
        <v>623</v>
      </c>
      <c r="B109" s="2" t="s">
        <v>29</v>
      </c>
      <c r="C109" s="2"/>
      <c r="D109" s="2"/>
      <c r="E109" s="2" t="s">
        <v>624</v>
      </c>
      <c r="F109" s="2" t="s">
        <v>81</v>
      </c>
      <c r="G109" s="2"/>
      <c r="H109" s="2"/>
      <c r="I109" s="2"/>
      <c r="J109" s="2"/>
      <c r="K109" s="2"/>
      <c r="L109" s="2"/>
      <c r="M109" s="2"/>
      <c r="N109" s="2"/>
      <c r="O109" s="2" t="s">
        <v>82</v>
      </c>
      <c r="P109" s="2" t="s">
        <v>158</v>
      </c>
      <c r="Q109" s="2"/>
      <c r="R109" s="2"/>
      <c r="S109" s="2"/>
      <c r="T109" s="2"/>
      <c r="U109" s="2"/>
      <c r="V109" s="2" t="s">
        <v>625</v>
      </c>
      <c r="W109" s="2"/>
      <c r="X109" s="2" t="s">
        <v>38</v>
      </c>
      <c r="Y109" s="2" t="s">
        <v>39</v>
      </c>
      <c r="Z109" s="2" t="s">
        <v>40</v>
      </c>
      <c r="AA109" s="2" t="s">
        <v>41</v>
      </c>
      <c r="AB109" s="3" t="s">
        <v>626</v>
      </c>
      <c r="AC109">
        <f>COUNTIF(Sheet1!$A$1:$A$50,Firms!A109)</f>
        <v>0</v>
      </c>
    </row>
    <row r="110" spans="1:30" ht="15" hidden="1" customHeight="1" x14ac:dyDescent="0.45">
      <c r="A110" s="6" t="s">
        <v>627</v>
      </c>
      <c r="B110" s="6" t="s">
        <v>29</v>
      </c>
      <c r="C110" s="6" t="s">
        <v>51</v>
      </c>
      <c r="D110" s="6" t="s">
        <v>52</v>
      </c>
      <c r="E110" s="6" t="s">
        <v>628</v>
      </c>
      <c r="F110" s="6" t="s">
        <v>81</v>
      </c>
      <c r="G110" s="6"/>
      <c r="H110" s="6"/>
      <c r="I110" s="6" t="s">
        <v>469</v>
      </c>
      <c r="J110" s="6" t="s">
        <v>69</v>
      </c>
      <c r="K110" s="6"/>
      <c r="L110" s="6"/>
      <c r="M110" s="6"/>
      <c r="N110" s="6"/>
      <c r="O110" s="6" t="s">
        <v>32</v>
      </c>
      <c r="P110" s="6" t="s">
        <v>503</v>
      </c>
      <c r="Q110" s="6"/>
      <c r="R110" s="6"/>
      <c r="S110" s="6"/>
      <c r="T110" s="6"/>
      <c r="U110" s="6"/>
      <c r="V110" s="6"/>
      <c r="W110" s="6"/>
      <c r="X110" s="6" t="s">
        <v>63</v>
      </c>
      <c r="Y110" s="6" t="s">
        <v>39</v>
      </c>
      <c r="Z110" s="6" t="s">
        <v>40</v>
      </c>
      <c r="AA110" s="6" t="s">
        <v>41</v>
      </c>
      <c r="AB110" s="7" t="s">
        <v>629</v>
      </c>
      <c r="AC110">
        <f>COUNTIF(Sheet1!$A$1:$A$50,Firms!A110)</f>
        <v>0</v>
      </c>
    </row>
    <row r="111" spans="1:30" ht="15" hidden="1" customHeight="1" x14ac:dyDescent="0.45">
      <c r="A111" s="4" t="s">
        <v>630</v>
      </c>
      <c r="B111" s="4" t="s">
        <v>291</v>
      </c>
      <c r="C111" s="4" t="s">
        <v>51</v>
      </c>
      <c r="D111" s="4"/>
      <c r="E111" s="4" t="s">
        <v>631</v>
      </c>
      <c r="F111" s="4"/>
      <c r="G111" s="4"/>
      <c r="H111" s="4"/>
      <c r="I111" s="4"/>
      <c r="J111" s="4"/>
      <c r="K111" s="4"/>
      <c r="L111" s="4"/>
      <c r="M111" s="4"/>
      <c r="N111" s="4"/>
      <c r="O111" s="4"/>
      <c r="P111" s="4"/>
      <c r="Q111" s="4"/>
      <c r="R111" s="4"/>
      <c r="S111" s="4"/>
      <c r="T111" s="4"/>
      <c r="U111" s="4"/>
      <c r="V111" s="4"/>
      <c r="W111" s="4"/>
      <c r="X111" s="4" t="s">
        <v>47</v>
      </c>
      <c r="Y111" s="4" t="s">
        <v>48</v>
      </c>
      <c r="Z111" s="4" t="s">
        <v>40</v>
      </c>
      <c r="AA111" s="4" t="s">
        <v>41</v>
      </c>
      <c r="AB111" s="5" t="s">
        <v>632</v>
      </c>
      <c r="AC111">
        <f>COUNTIF(Sheet1!$A$1:$A$50,Firms!A111)</f>
        <v>0</v>
      </c>
    </row>
    <row r="112" spans="1:30" ht="15" hidden="1" customHeight="1" x14ac:dyDescent="0.45">
      <c r="A112" s="2" t="s">
        <v>633</v>
      </c>
      <c r="B112" s="2" t="s">
        <v>29</v>
      </c>
      <c r="C112" s="2" t="s">
        <v>272</v>
      </c>
      <c r="D112" s="2" t="s">
        <v>273</v>
      </c>
      <c r="E112" s="2" t="s">
        <v>634</v>
      </c>
      <c r="F112" s="2" t="s">
        <v>81</v>
      </c>
      <c r="G112" s="2"/>
      <c r="H112" s="2"/>
      <c r="I112" s="2"/>
      <c r="J112" s="2"/>
      <c r="K112" s="2"/>
      <c r="L112" s="2"/>
      <c r="M112" s="2"/>
      <c r="N112" s="2"/>
      <c r="O112" s="2" t="s">
        <v>32</v>
      </c>
      <c r="P112" s="2" t="s">
        <v>97</v>
      </c>
      <c r="Q112" s="2"/>
      <c r="R112" s="2"/>
      <c r="S112" s="2"/>
      <c r="T112" s="2" t="s">
        <v>635</v>
      </c>
      <c r="U112" s="2" t="s">
        <v>35</v>
      </c>
      <c r="V112" s="2"/>
      <c r="W112" s="2"/>
      <c r="X112" s="2" t="s">
        <v>38</v>
      </c>
      <c r="Y112" s="2" t="s">
        <v>39</v>
      </c>
      <c r="Z112" s="2" t="s">
        <v>40</v>
      </c>
      <c r="AA112" s="2" t="s">
        <v>41</v>
      </c>
      <c r="AB112" s="3" t="s">
        <v>636</v>
      </c>
      <c r="AC112">
        <f>COUNTIF(Sheet1!$A$1:$A$50,Firms!A112)</f>
        <v>0</v>
      </c>
    </row>
    <row r="113" spans="1:30" ht="15" customHeight="1" x14ac:dyDescent="0.45">
      <c r="A113" s="6" t="s">
        <v>637</v>
      </c>
      <c r="B113" s="6" t="s">
        <v>291</v>
      </c>
      <c r="C113" s="6"/>
      <c r="D113" s="6"/>
      <c r="E113" s="6" t="s">
        <v>638</v>
      </c>
      <c r="F113" s="6" t="s">
        <v>31</v>
      </c>
      <c r="G113" s="6" t="s">
        <v>125</v>
      </c>
      <c r="H113" s="6" t="s">
        <v>58</v>
      </c>
      <c r="I113" s="6"/>
      <c r="J113" s="6"/>
      <c r="K113" s="6"/>
      <c r="L113" s="6"/>
      <c r="M113" s="6" t="s">
        <v>69</v>
      </c>
      <c r="N113" s="6" t="s">
        <v>56</v>
      </c>
      <c r="O113" s="6" t="s">
        <v>576</v>
      </c>
      <c r="P113" s="6" t="s">
        <v>73</v>
      </c>
      <c r="Q113" s="6"/>
      <c r="R113" s="6"/>
      <c r="S113" s="6"/>
      <c r="T113" s="6"/>
      <c r="U113" s="6" t="s">
        <v>35</v>
      </c>
      <c r="V113" s="6"/>
      <c r="W113" s="6"/>
      <c r="X113" s="6" t="s">
        <v>63</v>
      </c>
      <c r="Y113" s="6" t="s">
        <v>39</v>
      </c>
      <c r="Z113" s="6" t="s">
        <v>40</v>
      </c>
      <c r="AA113" s="6" t="s">
        <v>41</v>
      </c>
      <c r="AB113" s="7" t="s">
        <v>639</v>
      </c>
      <c r="AC113">
        <f>COUNTIF(Sheet1!$A$1:$A$50,Firms!A113)</f>
        <v>1</v>
      </c>
      <c r="AD113" t="str">
        <f t="shared" ref="AD113:AD114" si="4">SUBSTITUTE(AB113,"Seeded from CapIQ export. Numeric fields are regex first-pass — c","C")</f>
        <v>Crawler will confirm. capiq_description preserved for AI extraction fallback. | [extractor] Copley Equity Partners is an evergreen single family office established in 2012. Focuses on lower-middle market private companies in North America with $2-25M in earnings/FCF. Invests $5-75M equity per transaction in both majority and minority positions. Industry agnostic across broad range of sectors. Portfolio shows healthcare, business services, industrial, consumer, and financial services exposure. No specific geographic HQ location, fund name, or AUM disclosed on website.</v>
      </c>
    </row>
    <row r="114" spans="1:30" ht="15" customHeight="1" x14ac:dyDescent="0.45">
      <c r="A114" s="6" t="s">
        <v>640</v>
      </c>
      <c r="B114" s="6" t="s">
        <v>29</v>
      </c>
      <c r="C114" s="6" t="s">
        <v>132</v>
      </c>
      <c r="D114" s="6" t="s">
        <v>388</v>
      </c>
      <c r="E114" s="6" t="s">
        <v>641</v>
      </c>
      <c r="F114" s="6" t="s">
        <v>31</v>
      </c>
      <c r="G114" s="6"/>
      <c r="H114" s="6"/>
      <c r="I114" s="6" t="s">
        <v>69</v>
      </c>
      <c r="J114" s="6" t="s">
        <v>54</v>
      </c>
      <c r="K114" s="6"/>
      <c r="L114" s="6"/>
      <c r="M114" s="6"/>
      <c r="N114" s="6"/>
      <c r="O114" s="6" t="s">
        <v>82</v>
      </c>
      <c r="P114" s="6" t="s">
        <v>111</v>
      </c>
      <c r="Q114" s="6"/>
      <c r="R114" s="6"/>
      <c r="S114" s="6"/>
      <c r="T114" s="6" t="s">
        <v>642</v>
      </c>
      <c r="U114" s="6" t="s">
        <v>35</v>
      </c>
      <c r="V114" s="6" t="s">
        <v>643</v>
      </c>
      <c r="W114" s="6"/>
      <c r="X114" s="6" t="s">
        <v>63</v>
      </c>
      <c r="Y114" s="6" t="s">
        <v>39</v>
      </c>
      <c r="Z114" s="6" t="s">
        <v>40</v>
      </c>
      <c r="AA114" s="6" t="s">
        <v>41</v>
      </c>
      <c r="AB114" s="7" t="s">
        <v>644</v>
      </c>
      <c r="AC114">
        <f>COUNTIF(Sheet1!$A$1:$A$50,Firms!A114)</f>
        <v>1</v>
      </c>
      <c r="AD114" t="str">
        <f t="shared" si="4"/>
        <v>Crawler will confirm. capiq_description preserved for AI extraction fallback. | [extractor] Lower middle market PE firm based in Austin, TX. Targets companies with EBITDA $5M-$15M. Focus on first round institutional capital, divestitures, and management-backed strategies. US investments with emphasis on Southwest. Portfolio shows exits through both strategic and financial buyers through 2025. Specific investment criteria explicitly stated on criteria page.</v>
      </c>
    </row>
    <row r="115" spans="1:30" ht="15" hidden="1" customHeight="1" x14ac:dyDescent="0.45">
      <c r="A115" s="6" t="s">
        <v>645</v>
      </c>
      <c r="B115" s="6" t="s">
        <v>29</v>
      </c>
      <c r="C115" s="6" t="s">
        <v>331</v>
      </c>
      <c r="D115" s="6" t="s">
        <v>332</v>
      </c>
      <c r="E115" s="6" t="s">
        <v>646</v>
      </c>
      <c r="F115" s="6" t="s">
        <v>31</v>
      </c>
      <c r="G115" s="6" t="s">
        <v>136</v>
      </c>
      <c r="H115" s="6" t="s">
        <v>57</v>
      </c>
      <c r="I115" s="6"/>
      <c r="J115" s="6"/>
      <c r="K115" s="6" t="s">
        <v>70</v>
      </c>
      <c r="L115" s="6" t="s">
        <v>136</v>
      </c>
      <c r="M115" s="6"/>
      <c r="N115" s="6"/>
      <c r="O115" s="6" t="s">
        <v>32</v>
      </c>
      <c r="P115" s="6" t="s">
        <v>424</v>
      </c>
      <c r="Q115" s="6"/>
      <c r="R115" s="6"/>
      <c r="S115" s="6"/>
      <c r="T115" s="6"/>
      <c r="U115" s="6" t="s">
        <v>35</v>
      </c>
      <c r="V115" s="6"/>
      <c r="W115" s="6"/>
      <c r="X115" s="6" t="s">
        <v>63</v>
      </c>
      <c r="Y115" s="6" t="s">
        <v>39</v>
      </c>
      <c r="Z115" s="6" t="s">
        <v>40</v>
      </c>
      <c r="AA115" s="6" t="s">
        <v>41</v>
      </c>
      <c r="AB115" s="7" t="s">
        <v>647</v>
      </c>
      <c r="AC115">
        <f>COUNTIF(Sheet1!$A$1:$A$50,Firms!A115)</f>
        <v>0</v>
      </c>
    </row>
    <row r="116" spans="1:30" ht="15" hidden="1" customHeight="1" x14ac:dyDescent="0.45">
      <c r="A116" s="2" t="s">
        <v>648</v>
      </c>
      <c r="B116" s="2" t="s">
        <v>29</v>
      </c>
      <c r="C116" s="2"/>
      <c r="D116" s="2"/>
      <c r="E116" s="2" t="s">
        <v>649</v>
      </c>
      <c r="F116" s="2" t="s">
        <v>81</v>
      </c>
      <c r="G116" s="2"/>
      <c r="H116" s="2"/>
      <c r="I116" s="2"/>
      <c r="J116" s="2"/>
      <c r="K116" s="2"/>
      <c r="L116" s="2"/>
      <c r="M116" s="2"/>
      <c r="N116" s="2"/>
      <c r="O116" s="2" t="s">
        <v>32</v>
      </c>
      <c r="P116" s="2" t="s">
        <v>215</v>
      </c>
      <c r="Q116" s="2"/>
      <c r="R116" s="2"/>
      <c r="S116" s="2"/>
      <c r="T116" s="2"/>
      <c r="U116" s="2" t="s">
        <v>35</v>
      </c>
      <c r="V116" s="2"/>
      <c r="W116" s="2"/>
      <c r="X116" s="2" t="s">
        <v>38</v>
      </c>
      <c r="Y116" s="2" t="s">
        <v>39</v>
      </c>
      <c r="Z116" s="2" t="s">
        <v>40</v>
      </c>
      <c r="AA116" s="2" t="s">
        <v>41</v>
      </c>
      <c r="AB116" s="3" t="s">
        <v>650</v>
      </c>
      <c r="AC116">
        <f>COUNTIF(Sheet1!$A$1:$A$50,Firms!A116)</f>
        <v>0</v>
      </c>
    </row>
    <row r="117" spans="1:30" ht="15" hidden="1" customHeight="1" x14ac:dyDescent="0.45">
      <c r="A117" s="2" t="s">
        <v>651</v>
      </c>
      <c r="B117" s="2" t="s">
        <v>29</v>
      </c>
      <c r="C117" s="2"/>
      <c r="D117" s="2"/>
      <c r="E117" s="2" t="s">
        <v>652</v>
      </c>
      <c r="F117" s="2" t="s">
        <v>81</v>
      </c>
      <c r="G117" s="2"/>
      <c r="H117" s="2"/>
      <c r="I117" s="2"/>
      <c r="J117" s="2"/>
      <c r="K117" s="2"/>
      <c r="L117" s="2"/>
      <c r="M117" s="2"/>
      <c r="N117" s="2"/>
      <c r="O117" s="2" t="s">
        <v>252</v>
      </c>
      <c r="P117" s="2" t="s">
        <v>653</v>
      </c>
      <c r="Q117" s="2"/>
      <c r="R117" s="2"/>
      <c r="S117" s="2"/>
      <c r="T117" s="2" t="s">
        <v>70</v>
      </c>
      <c r="U117" s="2" t="s">
        <v>35</v>
      </c>
      <c r="V117" s="2"/>
      <c r="W117" s="2" t="s">
        <v>654</v>
      </c>
      <c r="X117" s="2" t="s">
        <v>38</v>
      </c>
      <c r="Y117" s="2" t="s">
        <v>39</v>
      </c>
      <c r="Z117" s="2" t="s">
        <v>40</v>
      </c>
      <c r="AA117" s="2" t="s">
        <v>41</v>
      </c>
      <c r="AB117" s="3" t="s">
        <v>655</v>
      </c>
      <c r="AC117">
        <f>COUNTIF(Sheet1!$A$1:$A$50,Firms!A117)</f>
        <v>0</v>
      </c>
    </row>
    <row r="118" spans="1:30" ht="15" hidden="1" customHeight="1" x14ac:dyDescent="0.45">
      <c r="A118" s="2" t="s">
        <v>656</v>
      </c>
      <c r="B118" s="2" t="s">
        <v>291</v>
      </c>
      <c r="C118" s="2" t="s">
        <v>78</v>
      </c>
      <c r="D118" s="2" t="s">
        <v>657</v>
      </c>
      <c r="E118" s="2" t="s">
        <v>658</v>
      </c>
      <c r="F118" s="2" t="s">
        <v>81</v>
      </c>
      <c r="G118" s="2"/>
      <c r="H118" s="2"/>
      <c r="I118" s="2"/>
      <c r="J118" s="2"/>
      <c r="K118" s="2"/>
      <c r="L118" s="2"/>
      <c r="M118" s="2"/>
      <c r="N118" s="2"/>
      <c r="O118" s="2" t="s">
        <v>32</v>
      </c>
      <c r="P118" s="2" t="s">
        <v>659</v>
      </c>
      <c r="Q118" s="2"/>
      <c r="R118" s="2"/>
      <c r="S118" s="2"/>
      <c r="T118" s="2"/>
      <c r="U118" s="2" t="s">
        <v>35</v>
      </c>
      <c r="V118" s="2"/>
      <c r="W118" s="2"/>
      <c r="X118" s="2" t="s">
        <v>38</v>
      </c>
      <c r="Y118" s="2" t="s">
        <v>39</v>
      </c>
      <c r="Z118" s="2" t="s">
        <v>40</v>
      </c>
      <c r="AA118" s="2" t="s">
        <v>41</v>
      </c>
      <c r="AB118" s="3" t="s">
        <v>660</v>
      </c>
      <c r="AC118">
        <f>COUNTIF(Sheet1!$A$1:$A$50,Firms!A118)</f>
        <v>0</v>
      </c>
    </row>
    <row r="119" spans="1:30" ht="15" hidden="1" customHeight="1" x14ac:dyDescent="0.45">
      <c r="A119" s="4" t="s">
        <v>661</v>
      </c>
      <c r="B119" s="4" t="s">
        <v>44</v>
      </c>
      <c r="C119" s="4"/>
      <c r="D119" s="4"/>
      <c r="E119" s="4" t="s">
        <v>662</v>
      </c>
      <c r="F119" s="4"/>
      <c r="G119" s="4"/>
      <c r="H119" s="4"/>
      <c r="I119" s="4"/>
      <c r="J119" s="4"/>
      <c r="K119" s="4"/>
      <c r="L119" s="4"/>
      <c r="M119" s="4"/>
      <c r="N119" s="4"/>
      <c r="O119" s="4"/>
      <c r="P119" s="4" t="s">
        <v>396</v>
      </c>
      <c r="Q119" s="4"/>
      <c r="R119" s="4"/>
      <c r="S119" s="4"/>
      <c r="T119" s="4"/>
      <c r="U119" s="4" t="s">
        <v>35</v>
      </c>
      <c r="V119" s="4"/>
      <c r="W119" s="4"/>
      <c r="X119" s="4" t="s">
        <v>47</v>
      </c>
      <c r="Y119" s="4" t="s">
        <v>48</v>
      </c>
      <c r="Z119" s="4" t="s">
        <v>40</v>
      </c>
      <c r="AA119" s="4" t="s">
        <v>41</v>
      </c>
      <c r="AB119" s="5" t="s">
        <v>663</v>
      </c>
      <c r="AC119">
        <f>COUNTIF(Sheet1!$A$1:$A$50,Firms!A119)</f>
        <v>0</v>
      </c>
    </row>
    <row r="120" spans="1:30" ht="15" hidden="1" customHeight="1" x14ac:dyDescent="0.45">
      <c r="A120" s="6" t="s">
        <v>664</v>
      </c>
      <c r="B120" s="6" t="s">
        <v>29</v>
      </c>
      <c r="C120" s="6" t="s">
        <v>162</v>
      </c>
      <c r="D120" s="6" t="s">
        <v>133</v>
      </c>
      <c r="E120" s="6" t="s">
        <v>665</v>
      </c>
      <c r="F120" s="6" t="s">
        <v>81</v>
      </c>
      <c r="G120" s="6" t="s">
        <v>69</v>
      </c>
      <c r="H120" s="6" t="s">
        <v>55</v>
      </c>
      <c r="I120" s="6" t="s">
        <v>469</v>
      </c>
      <c r="J120" s="6" t="s">
        <v>54</v>
      </c>
      <c r="K120" s="6"/>
      <c r="L120" s="6"/>
      <c r="M120" s="6"/>
      <c r="N120" s="6"/>
      <c r="O120" s="6" t="s">
        <v>60</v>
      </c>
      <c r="P120" s="6" t="s">
        <v>554</v>
      </c>
      <c r="Q120" s="6"/>
      <c r="R120" s="6"/>
      <c r="S120" s="6"/>
      <c r="T120" s="6" t="s">
        <v>666</v>
      </c>
      <c r="U120" s="6" t="s">
        <v>35</v>
      </c>
      <c r="V120" s="6" t="s">
        <v>667</v>
      </c>
      <c r="W120" s="6"/>
      <c r="X120" s="6" t="s">
        <v>63</v>
      </c>
      <c r="Y120" s="6" t="s">
        <v>39</v>
      </c>
      <c r="Z120" s="6" t="s">
        <v>40</v>
      </c>
      <c r="AA120" s="6" t="s">
        <v>41</v>
      </c>
      <c r="AB120" s="7" t="s">
        <v>668</v>
      </c>
      <c r="AC120">
        <f>COUNTIF(Sheet1!$A$1:$A$50,Firms!A120)</f>
        <v>0</v>
      </c>
    </row>
    <row r="121" spans="1:30" ht="15" hidden="1" customHeight="1" x14ac:dyDescent="0.45">
      <c r="A121" s="2" t="s">
        <v>669</v>
      </c>
      <c r="B121" s="2" t="s">
        <v>29</v>
      </c>
      <c r="C121" s="2" t="s">
        <v>101</v>
      </c>
      <c r="D121" s="2" t="s">
        <v>557</v>
      </c>
      <c r="E121" s="2" t="s">
        <v>670</v>
      </c>
      <c r="F121" s="2" t="s">
        <v>81</v>
      </c>
      <c r="G121" s="2"/>
      <c r="H121" s="2"/>
      <c r="I121" s="2"/>
      <c r="J121" s="2"/>
      <c r="K121" s="2"/>
      <c r="L121" s="2"/>
      <c r="M121" s="2"/>
      <c r="N121" s="2"/>
      <c r="O121" s="2" t="s">
        <v>671</v>
      </c>
      <c r="P121" s="2" t="s">
        <v>105</v>
      </c>
      <c r="Q121" s="2"/>
      <c r="R121" s="2"/>
      <c r="S121" s="2"/>
      <c r="T121" s="2"/>
      <c r="U121" s="2" t="s">
        <v>35</v>
      </c>
      <c r="V121" s="2" t="s">
        <v>672</v>
      </c>
      <c r="W121" s="2"/>
      <c r="X121" s="2" t="s">
        <v>38</v>
      </c>
      <c r="Y121" s="2" t="s">
        <v>39</v>
      </c>
      <c r="Z121" s="2" t="s">
        <v>40</v>
      </c>
      <c r="AA121" s="2" t="s">
        <v>41</v>
      </c>
      <c r="AB121" s="3" t="s">
        <v>673</v>
      </c>
      <c r="AC121">
        <f>COUNTIF(Sheet1!$A$1:$A$50,Firms!A121)</f>
        <v>0</v>
      </c>
    </row>
    <row r="122" spans="1:30" ht="15" hidden="1" customHeight="1" x14ac:dyDescent="0.45">
      <c r="A122" s="4" t="s">
        <v>674</v>
      </c>
      <c r="B122" s="4" t="s">
        <v>44</v>
      </c>
      <c r="C122" s="4"/>
      <c r="D122" s="4"/>
      <c r="E122" s="4" t="s">
        <v>675</v>
      </c>
      <c r="F122" s="4"/>
      <c r="G122" s="4"/>
      <c r="H122" s="4"/>
      <c r="I122" s="4"/>
      <c r="J122" s="4"/>
      <c r="K122" s="4"/>
      <c r="L122" s="4"/>
      <c r="M122" s="4"/>
      <c r="N122" s="4"/>
      <c r="O122" s="4"/>
      <c r="P122" s="4"/>
      <c r="Q122" s="4"/>
      <c r="R122" s="4"/>
      <c r="S122" s="4"/>
      <c r="T122" s="4"/>
      <c r="U122" s="4"/>
      <c r="V122" s="4"/>
      <c r="W122" s="4"/>
      <c r="X122" s="4" t="s">
        <v>47</v>
      </c>
      <c r="Y122" s="4" t="s">
        <v>48</v>
      </c>
      <c r="Z122" s="4" t="s">
        <v>40</v>
      </c>
      <c r="AA122" s="4" t="s">
        <v>41</v>
      </c>
      <c r="AB122" s="5" t="s">
        <v>676</v>
      </c>
      <c r="AC122">
        <f>COUNTIF(Sheet1!$A$1:$A$50,Firms!A122)</f>
        <v>0</v>
      </c>
    </row>
    <row r="123" spans="1:30" ht="15" customHeight="1" x14ac:dyDescent="0.45">
      <c r="A123" s="6" t="s">
        <v>677</v>
      </c>
      <c r="B123" s="6" t="s">
        <v>29</v>
      </c>
      <c r="C123" s="6" t="s">
        <v>272</v>
      </c>
      <c r="D123" s="6" t="s">
        <v>273</v>
      </c>
      <c r="E123" s="6" t="s">
        <v>678</v>
      </c>
      <c r="F123" s="6" t="s">
        <v>31</v>
      </c>
      <c r="G123" s="6" t="s">
        <v>192</v>
      </c>
      <c r="H123" s="6" t="s">
        <v>56</v>
      </c>
      <c r="I123" s="6" t="s">
        <v>125</v>
      </c>
      <c r="J123" s="6" t="s">
        <v>192</v>
      </c>
      <c r="K123" s="6" t="s">
        <v>54</v>
      </c>
      <c r="L123" s="6" t="s">
        <v>55</v>
      </c>
      <c r="M123" s="6" t="s">
        <v>69</v>
      </c>
      <c r="N123" s="6" t="s">
        <v>110</v>
      </c>
      <c r="O123" s="6" t="s">
        <v>72</v>
      </c>
      <c r="P123" s="6" t="s">
        <v>410</v>
      </c>
      <c r="Q123" s="6" t="s">
        <v>411</v>
      </c>
      <c r="R123" s="6" t="s">
        <v>412</v>
      </c>
      <c r="S123" s="6" t="s">
        <v>413</v>
      </c>
      <c r="T123" s="6"/>
      <c r="U123" s="6" t="s">
        <v>35</v>
      </c>
      <c r="V123" s="6"/>
      <c r="W123" s="6"/>
      <c r="X123" s="6" t="s">
        <v>63</v>
      </c>
      <c r="Y123" s="6" t="s">
        <v>39</v>
      </c>
      <c r="Z123" s="6" t="s">
        <v>414</v>
      </c>
      <c r="AA123" s="6" t="s">
        <v>41</v>
      </c>
      <c r="AB123" s="7" t="s">
        <v>415</v>
      </c>
      <c r="AC123">
        <f>COUNTIF(Sheet1!$A$1:$A$50,Firms!A123)</f>
        <v>1</v>
      </c>
      <c r="AD123" t="str">
        <f>SUBSTITUTE(AB123,"Seeded from CapIQ export. Numeric fields are regex first-pass — c","C")</f>
        <v>Crawler will confirm. capiq_description preserved for AI extraction fallback. | [crawler] Explicit investment criteria page found.</v>
      </c>
    </row>
    <row r="124" spans="1:30" ht="15" hidden="1" customHeight="1" x14ac:dyDescent="0.45">
      <c r="A124" s="4" t="s">
        <v>679</v>
      </c>
      <c r="B124" s="4" t="s">
        <v>44</v>
      </c>
      <c r="C124" s="4"/>
      <c r="D124" s="4"/>
      <c r="E124" s="4" t="s">
        <v>680</v>
      </c>
      <c r="F124" s="4"/>
      <c r="G124" s="4"/>
      <c r="H124" s="4"/>
      <c r="I124" s="4"/>
      <c r="J124" s="4"/>
      <c r="K124" s="4"/>
      <c r="L124" s="4"/>
      <c r="M124" s="4"/>
      <c r="N124" s="4"/>
      <c r="O124" s="4"/>
      <c r="P124" s="4" t="s">
        <v>681</v>
      </c>
      <c r="Q124" s="4"/>
      <c r="R124" s="4"/>
      <c r="S124" s="4"/>
      <c r="T124" s="4" t="s">
        <v>682</v>
      </c>
      <c r="U124" s="4" t="s">
        <v>35</v>
      </c>
      <c r="V124" s="4"/>
      <c r="W124" s="4"/>
      <c r="X124" s="4" t="s">
        <v>47</v>
      </c>
      <c r="Y124" s="4" t="s">
        <v>48</v>
      </c>
      <c r="Z124" s="4" t="s">
        <v>40</v>
      </c>
      <c r="AA124" s="4" t="s">
        <v>41</v>
      </c>
      <c r="AB124" s="5" t="s">
        <v>683</v>
      </c>
      <c r="AC124">
        <f>COUNTIF(Sheet1!$A$1:$A$50,Firms!A124)</f>
        <v>0</v>
      </c>
    </row>
    <row r="125" spans="1:30" ht="15" hidden="1" customHeight="1" x14ac:dyDescent="0.45">
      <c r="A125" s="2" t="s">
        <v>684</v>
      </c>
      <c r="B125" s="2" t="s">
        <v>29</v>
      </c>
      <c r="C125" s="2"/>
      <c r="D125" s="2"/>
      <c r="E125" s="2" t="s">
        <v>685</v>
      </c>
      <c r="F125" s="2" t="s">
        <v>31</v>
      </c>
      <c r="G125" s="2"/>
      <c r="H125" s="2"/>
      <c r="I125" s="2"/>
      <c r="J125" s="2"/>
      <c r="K125" s="2"/>
      <c r="L125" s="2"/>
      <c r="M125" s="2"/>
      <c r="N125" s="2"/>
      <c r="O125" s="2" t="s">
        <v>32</v>
      </c>
      <c r="P125" s="2" t="s">
        <v>279</v>
      </c>
      <c r="Q125" s="2"/>
      <c r="R125" s="2"/>
      <c r="S125" s="2"/>
      <c r="T125" s="2"/>
      <c r="U125" s="2" t="s">
        <v>35</v>
      </c>
      <c r="V125" s="2"/>
      <c r="W125" s="2"/>
      <c r="X125" s="2" t="s">
        <v>38</v>
      </c>
      <c r="Y125" s="2" t="s">
        <v>39</v>
      </c>
      <c r="Z125" s="2" t="s">
        <v>40</v>
      </c>
      <c r="AA125" s="2" t="s">
        <v>41</v>
      </c>
      <c r="AB125" s="3" t="s">
        <v>686</v>
      </c>
      <c r="AC125">
        <f>COUNTIF(Sheet1!$A$1:$A$50,Firms!A125)</f>
        <v>0</v>
      </c>
    </row>
    <row r="126" spans="1:30" ht="15" hidden="1" customHeight="1" x14ac:dyDescent="0.45">
      <c r="A126" s="4" t="s">
        <v>687</v>
      </c>
      <c r="B126" s="4" t="s">
        <v>44</v>
      </c>
      <c r="C126" s="4"/>
      <c r="D126" s="4"/>
      <c r="E126" s="4" t="s">
        <v>688</v>
      </c>
      <c r="F126" s="4"/>
      <c r="G126" s="4"/>
      <c r="H126" s="4"/>
      <c r="I126" s="4"/>
      <c r="J126" s="4"/>
      <c r="K126" s="4"/>
      <c r="L126" s="4"/>
      <c r="M126" s="4"/>
      <c r="N126" s="4"/>
      <c r="O126" s="4"/>
      <c r="P126" s="4" t="s">
        <v>97</v>
      </c>
      <c r="Q126" s="4"/>
      <c r="R126" s="4"/>
      <c r="S126" s="4"/>
      <c r="T126" s="4"/>
      <c r="U126" s="4" t="s">
        <v>35</v>
      </c>
      <c r="V126" s="4"/>
      <c r="W126" s="4"/>
      <c r="X126" s="4" t="s">
        <v>38</v>
      </c>
      <c r="Y126" s="4" t="s">
        <v>48</v>
      </c>
      <c r="Z126" s="4" t="s">
        <v>40</v>
      </c>
      <c r="AA126" s="4" t="s">
        <v>41</v>
      </c>
      <c r="AB126" s="5" t="s">
        <v>689</v>
      </c>
      <c r="AC126">
        <f>COUNTIF(Sheet1!$A$1:$A$50,Firms!A126)</f>
        <v>0</v>
      </c>
    </row>
    <row r="127" spans="1:30" ht="15" hidden="1" customHeight="1" x14ac:dyDescent="0.45">
      <c r="A127" s="4" t="s">
        <v>690</v>
      </c>
      <c r="B127" s="4" t="s">
        <v>44</v>
      </c>
      <c r="C127" s="4"/>
      <c r="D127" s="4"/>
      <c r="E127" s="4" t="s">
        <v>691</v>
      </c>
      <c r="F127" s="4"/>
      <c r="G127" s="4"/>
      <c r="H127" s="4"/>
      <c r="I127" s="4"/>
      <c r="J127" s="4"/>
      <c r="K127" s="4"/>
      <c r="L127" s="4"/>
      <c r="M127" s="4"/>
      <c r="N127" s="4"/>
      <c r="O127" s="4"/>
      <c r="P127" s="4" t="s">
        <v>479</v>
      </c>
      <c r="Q127" s="4"/>
      <c r="R127" s="4"/>
      <c r="S127" s="4"/>
      <c r="T127" s="4"/>
      <c r="U127" s="4" t="s">
        <v>35</v>
      </c>
      <c r="V127" s="4"/>
      <c r="W127" s="4"/>
      <c r="X127" s="4" t="s">
        <v>47</v>
      </c>
      <c r="Y127" s="4" t="s">
        <v>48</v>
      </c>
      <c r="Z127" s="4" t="s">
        <v>40</v>
      </c>
      <c r="AA127" s="4" t="s">
        <v>41</v>
      </c>
      <c r="AB127" s="5" t="s">
        <v>692</v>
      </c>
      <c r="AC127">
        <f>COUNTIF(Sheet1!$A$1:$A$50,Firms!A127)</f>
        <v>0</v>
      </c>
    </row>
    <row r="128" spans="1:30" ht="15" hidden="1" customHeight="1" x14ac:dyDescent="0.45">
      <c r="A128" s="6" t="s">
        <v>693</v>
      </c>
      <c r="B128" s="6" t="s">
        <v>29</v>
      </c>
      <c r="C128" s="6" t="s">
        <v>694</v>
      </c>
      <c r="D128" s="6" t="s">
        <v>695</v>
      </c>
      <c r="E128" s="6" t="s">
        <v>696</v>
      </c>
      <c r="F128" s="6" t="s">
        <v>31</v>
      </c>
      <c r="G128" s="6" t="s">
        <v>697</v>
      </c>
      <c r="H128" s="6" t="s">
        <v>469</v>
      </c>
      <c r="I128" s="6" t="s">
        <v>125</v>
      </c>
      <c r="J128" s="6" t="s">
        <v>137</v>
      </c>
      <c r="K128" s="6"/>
      <c r="L128" s="6"/>
      <c r="M128" s="6"/>
      <c r="N128" s="6"/>
      <c r="O128" s="6" t="s">
        <v>32</v>
      </c>
      <c r="P128" s="6" t="s">
        <v>554</v>
      </c>
      <c r="Q128" s="6"/>
      <c r="R128" s="6"/>
      <c r="S128" s="6"/>
      <c r="T128" s="6" t="s">
        <v>698</v>
      </c>
      <c r="U128" s="6" t="s">
        <v>35</v>
      </c>
      <c r="V128" s="6"/>
      <c r="W128" s="6"/>
      <c r="X128" s="6" t="s">
        <v>63</v>
      </c>
      <c r="Y128" s="6" t="s">
        <v>39</v>
      </c>
      <c r="Z128" s="6" t="s">
        <v>40</v>
      </c>
      <c r="AA128" s="6" t="s">
        <v>41</v>
      </c>
      <c r="AB128" s="7" t="s">
        <v>699</v>
      </c>
      <c r="AC128">
        <f>COUNTIF(Sheet1!$A$1:$A$50,Firms!A128)</f>
        <v>0</v>
      </c>
    </row>
    <row r="129" spans="1:29" ht="15" hidden="1" customHeight="1" x14ac:dyDescent="0.45">
      <c r="A129" s="2" t="s">
        <v>700</v>
      </c>
      <c r="B129" s="2" t="s">
        <v>29</v>
      </c>
      <c r="C129" s="2" t="s">
        <v>132</v>
      </c>
      <c r="D129" s="2" t="s">
        <v>133</v>
      </c>
      <c r="E129" s="2" t="s">
        <v>701</v>
      </c>
      <c r="F129" s="2" t="s">
        <v>81</v>
      </c>
      <c r="G129" s="2"/>
      <c r="H129" s="2"/>
      <c r="I129" s="2"/>
      <c r="J129" s="2"/>
      <c r="K129" s="2"/>
      <c r="L129" s="2"/>
      <c r="M129" s="2"/>
      <c r="N129" s="2"/>
      <c r="O129" s="2" t="s">
        <v>32</v>
      </c>
      <c r="P129" s="2" t="s">
        <v>105</v>
      </c>
      <c r="Q129" s="2"/>
      <c r="R129" s="2"/>
      <c r="S129" s="2"/>
      <c r="T129" s="2"/>
      <c r="U129" s="2"/>
      <c r="V129" s="2"/>
      <c r="W129" s="2"/>
      <c r="X129" s="2" t="s">
        <v>38</v>
      </c>
      <c r="Y129" s="2" t="s">
        <v>39</v>
      </c>
      <c r="Z129" s="2" t="s">
        <v>40</v>
      </c>
      <c r="AA129" s="2" t="s">
        <v>41</v>
      </c>
      <c r="AB129" s="3" t="s">
        <v>702</v>
      </c>
      <c r="AC129">
        <f>COUNTIF(Sheet1!$A$1:$A$50,Firms!A129)</f>
        <v>0</v>
      </c>
    </row>
    <row r="130" spans="1:29" ht="15" hidden="1" customHeight="1" x14ac:dyDescent="0.45">
      <c r="A130" s="2" t="s">
        <v>703</v>
      </c>
      <c r="B130" s="2" t="s">
        <v>29</v>
      </c>
      <c r="C130" s="2"/>
      <c r="D130" s="2"/>
      <c r="E130" s="2" t="s">
        <v>704</v>
      </c>
      <c r="F130" s="2" t="s">
        <v>81</v>
      </c>
      <c r="G130" s="2"/>
      <c r="H130" s="2"/>
      <c r="I130" s="2"/>
      <c r="J130" s="2"/>
      <c r="K130" s="2"/>
      <c r="L130" s="2"/>
      <c r="M130" s="2"/>
      <c r="N130" s="2"/>
      <c r="O130" s="2" t="s">
        <v>32</v>
      </c>
      <c r="P130" s="2" t="s">
        <v>705</v>
      </c>
      <c r="Q130" s="2"/>
      <c r="R130" s="2"/>
      <c r="S130" s="2"/>
      <c r="T130" s="2" t="s">
        <v>706</v>
      </c>
      <c r="U130" s="2" t="s">
        <v>35</v>
      </c>
      <c r="V130" s="2" t="s">
        <v>154</v>
      </c>
      <c r="W130" s="2" t="s">
        <v>707</v>
      </c>
      <c r="X130" s="2" t="s">
        <v>38</v>
      </c>
      <c r="Y130" s="2" t="s">
        <v>39</v>
      </c>
      <c r="Z130" s="2" t="s">
        <v>40</v>
      </c>
      <c r="AA130" s="2" t="s">
        <v>41</v>
      </c>
      <c r="AB130" s="3" t="s">
        <v>708</v>
      </c>
      <c r="AC130">
        <f>COUNTIF(Sheet1!$A$1:$A$50,Firms!A130)</f>
        <v>0</v>
      </c>
    </row>
    <row r="131" spans="1:29" ht="15" hidden="1" customHeight="1" x14ac:dyDescent="0.45">
      <c r="A131" s="4" t="s">
        <v>709</v>
      </c>
      <c r="B131" s="4" t="s">
        <v>29</v>
      </c>
      <c r="C131" s="4"/>
      <c r="D131" s="4"/>
      <c r="E131" s="4" t="s">
        <v>710</v>
      </c>
      <c r="F131" s="4"/>
      <c r="G131" s="4"/>
      <c r="H131" s="4"/>
      <c r="I131" s="4"/>
      <c r="J131" s="4"/>
      <c r="K131" s="4"/>
      <c r="L131" s="4"/>
      <c r="M131" s="4"/>
      <c r="N131" s="4"/>
      <c r="O131" s="4" t="s">
        <v>32</v>
      </c>
      <c r="P131" s="4" t="s">
        <v>105</v>
      </c>
      <c r="Q131" s="4"/>
      <c r="R131" s="4"/>
      <c r="S131" s="4"/>
      <c r="T131" s="4"/>
      <c r="U131" s="4" t="s">
        <v>35</v>
      </c>
      <c r="V131" s="4"/>
      <c r="W131" s="4"/>
      <c r="X131" s="4" t="s">
        <v>38</v>
      </c>
      <c r="Y131" s="4" t="s">
        <v>48</v>
      </c>
      <c r="Z131" s="4" t="s">
        <v>40</v>
      </c>
      <c r="AA131" s="4" t="s">
        <v>41</v>
      </c>
      <c r="AB131" s="5" t="s">
        <v>711</v>
      </c>
      <c r="AC131">
        <f>COUNTIF(Sheet1!$A$1:$A$50,Firms!A131)</f>
        <v>0</v>
      </c>
    </row>
    <row r="132" spans="1:29" ht="15" hidden="1" customHeight="1" x14ac:dyDescent="0.45">
      <c r="A132" s="4" t="s">
        <v>712</v>
      </c>
      <c r="B132" s="4" t="s">
        <v>44</v>
      </c>
      <c r="C132" s="4"/>
      <c r="D132" s="4"/>
      <c r="E132" s="4" t="s">
        <v>713</v>
      </c>
      <c r="F132" s="4"/>
      <c r="G132" s="4"/>
      <c r="H132" s="4"/>
      <c r="I132" s="4"/>
      <c r="J132" s="4"/>
      <c r="K132" s="4"/>
      <c r="L132" s="4"/>
      <c r="M132" s="4"/>
      <c r="N132" s="4"/>
      <c r="O132" s="4"/>
      <c r="P132" s="4"/>
      <c r="Q132" s="4"/>
      <c r="R132" s="4"/>
      <c r="S132" s="4"/>
      <c r="T132" s="4"/>
      <c r="U132" s="4"/>
      <c r="V132" s="4"/>
      <c r="W132" s="4"/>
      <c r="X132" s="4" t="s">
        <v>47</v>
      </c>
      <c r="Y132" s="4" t="s">
        <v>48</v>
      </c>
      <c r="Z132" s="4" t="s">
        <v>40</v>
      </c>
      <c r="AA132" s="4" t="s">
        <v>41</v>
      </c>
      <c r="AB132" s="5" t="s">
        <v>714</v>
      </c>
      <c r="AC132">
        <f>COUNTIF(Sheet1!$A$1:$A$50,Firms!A132)</f>
        <v>0</v>
      </c>
    </row>
    <row r="133" spans="1:29" ht="15" hidden="1" customHeight="1" x14ac:dyDescent="0.45">
      <c r="A133" s="2" t="s">
        <v>715</v>
      </c>
      <c r="B133" s="2" t="s">
        <v>29</v>
      </c>
      <c r="C133" s="2"/>
      <c r="D133" s="2"/>
      <c r="E133" s="2" t="s">
        <v>716</v>
      </c>
      <c r="F133" s="2"/>
      <c r="G133" s="2"/>
      <c r="H133" s="2"/>
      <c r="I133" s="2"/>
      <c r="J133" s="2"/>
      <c r="K133" s="2"/>
      <c r="L133" s="2"/>
      <c r="M133" s="2"/>
      <c r="N133" s="2"/>
      <c r="O133" s="2" t="s">
        <v>32</v>
      </c>
      <c r="P133" s="2" t="s">
        <v>717</v>
      </c>
      <c r="Q133" s="2"/>
      <c r="R133" s="2"/>
      <c r="S133" s="2"/>
      <c r="T133" s="2" t="s">
        <v>718</v>
      </c>
      <c r="U133" s="2" t="s">
        <v>35</v>
      </c>
      <c r="V133" s="2"/>
      <c r="W133" s="2"/>
      <c r="X133" s="2" t="s">
        <v>38</v>
      </c>
      <c r="Y133" s="2" t="s">
        <v>39</v>
      </c>
      <c r="Z133" s="2" t="s">
        <v>40</v>
      </c>
      <c r="AA133" s="2" t="s">
        <v>41</v>
      </c>
      <c r="AB133" s="3" t="s">
        <v>719</v>
      </c>
      <c r="AC133">
        <f>COUNTIF(Sheet1!$A$1:$A$50,Firms!A133)</f>
        <v>0</v>
      </c>
    </row>
    <row r="134" spans="1:29" ht="15" hidden="1" customHeight="1" x14ac:dyDescent="0.45">
      <c r="A134" s="2" t="s">
        <v>720</v>
      </c>
      <c r="B134" s="2" t="s">
        <v>29</v>
      </c>
      <c r="C134" s="2"/>
      <c r="D134" s="2"/>
      <c r="E134" s="2" t="s">
        <v>721</v>
      </c>
      <c r="F134" s="2" t="s">
        <v>31</v>
      </c>
      <c r="G134" s="2"/>
      <c r="H134" s="2"/>
      <c r="I134" s="2"/>
      <c r="J134" s="2"/>
      <c r="K134" s="2"/>
      <c r="L134" s="2"/>
      <c r="M134" s="2" t="s">
        <v>58</v>
      </c>
      <c r="N134" s="2" t="s">
        <v>136</v>
      </c>
      <c r="O134" s="2" t="s">
        <v>193</v>
      </c>
      <c r="P134" s="2" t="s">
        <v>105</v>
      </c>
      <c r="Q134" s="2"/>
      <c r="R134" s="2"/>
      <c r="S134" s="2"/>
      <c r="T134" s="2"/>
      <c r="U134" s="2" t="s">
        <v>35</v>
      </c>
      <c r="V134" s="2"/>
      <c r="W134" s="2"/>
      <c r="X134" s="2" t="s">
        <v>38</v>
      </c>
      <c r="Y134" s="2" t="s">
        <v>39</v>
      </c>
      <c r="Z134" s="2" t="s">
        <v>40</v>
      </c>
      <c r="AA134" s="2" t="s">
        <v>41</v>
      </c>
      <c r="AB134" s="3" t="s">
        <v>722</v>
      </c>
      <c r="AC134">
        <f>COUNTIF(Sheet1!$A$1:$A$50,Firms!A134)</f>
        <v>0</v>
      </c>
    </row>
    <row r="135" spans="1:29" ht="15" hidden="1" customHeight="1" x14ac:dyDescent="0.45">
      <c r="A135" s="2" t="s">
        <v>723</v>
      </c>
      <c r="B135" s="2" t="s">
        <v>291</v>
      </c>
      <c r="C135" s="2" t="s">
        <v>724</v>
      </c>
      <c r="D135" s="2" t="s">
        <v>725</v>
      </c>
      <c r="E135" s="2" t="s">
        <v>726</v>
      </c>
      <c r="F135" s="2" t="s">
        <v>81</v>
      </c>
      <c r="G135" s="2"/>
      <c r="H135" s="2"/>
      <c r="I135" s="2"/>
      <c r="J135" s="2"/>
      <c r="K135" s="2"/>
      <c r="L135" s="2"/>
      <c r="M135" s="2"/>
      <c r="N135" s="2"/>
      <c r="O135" s="2" t="s">
        <v>727</v>
      </c>
      <c r="P135" s="2" t="s">
        <v>728</v>
      </c>
      <c r="Q135" s="2"/>
      <c r="R135" s="2"/>
      <c r="S135" s="2"/>
      <c r="T135" s="2" t="s">
        <v>258</v>
      </c>
      <c r="U135" s="2" t="s">
        <v>35</v>
      </c>
      <c r="V135" s="2"/>
      <c r="W135" s="2"/>
      <c r="X135" s="2" t="s">
        <v>38</v>
      </c>
      <c r="Y135" s="2" t="s">
        <v>39</v>
      </c>
      <c r="Z135" s="2" t="s">
        <v>40</v>
      </c>
      <c r="AA135" s="2" t="s">
        <v>41</v>
      </c>
      <c r="AB135" s="3" t="s">
        <v>729</v>
      </c>
      <c r="AC135">
        <f>COUNTIF(Sheet1!$A$1:$A$50,Firms!A135)</f>
        <v>0</v>
      </c>
    </row>
    <row r="136" spans="1:29" ht="15" hidden="1" customHeight="1" x14ac:dyDescent="0.45">
      <c r="A136" s="6" t="s">
        <v>730</v>
      </c>
      <c r="B136" s="6" t="s">
        <v>29</v>
      </c>
      <c r="C136" s="6"/>
      <c r="D136" s="6" t="s">
        <v>337</v>
      </c>
      <c r="E136" s="6" t="s">
        <v>731</v>
      </c>
      <c r="F136" s="6" t="s">
        <v>405</v>
      </c>
      <c r="G136" s="6"/>
      <c r="H136" s="6"/>
      <c r="I136" s="6"/>
      <c r="J136" s="6"/>
      <c r="K136" s="6" t="s">
        <v>136</v>
      </c>
      <c r="L136" s="6" t="s">
        <v>456</v>
      </c>
      <c r="M136" s="6"/>
      <c r="N136" s="6"/>
      <c r="O136" s="6" t="s">
        <v>32</v>
      </c>
      <c r="P136" s="6" t="s">
        <v>73</v>
      </c>
      <c r="Q136" s="6"/>
      <c r="R136" s="6"/>
      <c r="S136" s="6"/>
      <c r="T136" s="6" t="s">
        <v>732</v>
      </c>
      <c r="U136" s="6" t="s">
        <v>35</v>
      </c>
      <c r="V136" s="6"/>
      <c r="W136" s="6"/>
      <c r="X136" s="6" t="s">
        <v>63</v>
      </c>
      <c r="Y136" s="6" t="s">
        <v>39</v>
      </c>
      <c r="Z136" s="6" t="s">
        <v>40</v>
      </c>
      <c r="AA136" s="6" t="s">
        <v>41</v>
      </c>
      <c r="AB136" s="7" t="s">
        <v>733</v>
      </c>
      <c r="AC136">
        <f>COUNTIF(Sheet1!$A$1:$A$50,Firms!A136)</f>
        <v>0</v>
      </c>
    </row>
    <row r="137" spans="1:29" ht="15" hidden="1" customHeight="1" x14ac:dyDescent="0.45">
      <c r="A137" s="2" t="s">
        <v>734</v>
      </c>
      <c r="B137" s="2" t="s">
        <v>402</v>
      </c>
      <c r="C137" s="2"/>
      <c r="D137" s="2"/>
      <c r="E137" s="2" t="s">
        <v>735</v>
      </c>
      <c r="F137" s="2" t="s">
        <v>81</v>
      </c>
      <c r="G137" s="2"/>
      <c r="H137" s="2"/>
      <c r="I137" s="2"/>
      <c r="J137" s="2"/>
      <c r="K137" s="2"/>
      <c r="L137" s="2"/>
      <c r="M137" s="2"/>
      <c r="N137" s="2"/>
      <c r="O137" s="2" t="s">
        <v>406</v>
      </c>
      <c r="P137" s="2" t="s">
        <v>736</v>
      </c>
      <c r="Q137" s="2"/>
      <c r="R137" s="2"/>
      <c r="S137" s="2"/>
      <c r="T137" s="2" t="s">
        <v>737</v>
      </c>
      <c r="U137" s="2" t="s">
        <v>35</v>
      </c>
      <c r="V137" s="2"/>
      <c r="W137" s="2"/>
      <c r="X137" s="2" t="s">
        <v>38</v>
      </c>
      <c r="Y137" s="2" t="s">
        <v>39</v>
      </c>
      <c r="Z137" s="2" t="s">
        <v>40</v>
      </c>
      <c r="AA137" s="2" t="s">
        <v>41</v>
      </c>
      <c r="AB137" s="3" t="s">
        <v>738</v>
      </c>
      <c r="AC137">
        <f>COUNTIF(Sheet1!$A$1:$A$50,Firms!A137)</f>
        <v>0</v>
      </c>
    </row>
    <row r="138" spans="1:29" ht="15" hidden="1" customHeight="1" x14ac:dyDescent="0.45">
      <c r="A138" s="2" t="s">
        <v>739</v>
      </c>
      <c r="B138" s="2" t="s">
        <v>29</v>
      </c>
      <c r="C138" s="2"/>
      <c r="D138" s="2"/>
      <c r="E138" s="2" t="s">
        <v>740</v>
      </c>
      <c r="F138" s="2" t="s">
        <v>31</v>
      </c>
      <c r="G138" s="2"/>
      <c r="H138" s="2"/>
      <c r="I138" s="2"/>
      <c r="J138" s="2"/>
      <c r="K138" s="2"/>
      <c r="L138" s="2"/>
      <c r="M138" s="2" t="s">
        <v>55</v>
      </c>
      <c r="N138" s="2"/>
      <c r="O138" s="2" t="s">
        <v>741</v>
      </c>
      <c r="P138" s="2" t="s">
        <v>111</v>
      </c>
      <c r="Q138" s="2"/>
      <c r="R138" s="2"/>
      <c r="S138" s="2"/>
      <c r="T138" s="2" t="s">
        <v>742</v>
      </c>
      <c r="U138" s="2" t="s">
        <v>35</v>
      </c>
      <c r="V138" s="2"/>
      <c r="W138" s="2"/>
      <c r="X138" s="2" t="s">
        <v>38</v>
      </c>
      <c r="Y138" s="2" t="s">
        <v>39</v>
      </c>
      <c r="Z138" s="2" t="s">
        <v>40</v>
      </c>
      <c r="AA138" s="2" t="s">
        <v>41</v>
      </c>
      <c r="AB138" s="3" t="s">
        <v>743</v>
      </c>
      <c r="AC138">
        <f>COUNTIF(Sheet1!$A$1:$A$50,Firms!A138)</f>
        <v>0</v>
      </c>
    </row>
    <row r="139" spans="1:29" ht="15" hidden="1" customHeight="1" x14ac:dyDescent="0.45">
      <c r="A139" s="4" t="s">
        <v>744</v>
      </c>
      <c r="B139" s="4" t="s">
        <v>29</v>
      </c>
      <c r="C139" s="4"/>
      <c r="D139" s="4"/>
      <c r="E139" s="4" t="s">
        <v>745</v>
      </c>
      <c r="F139" s="4"/>
      <c r="G139" s="4"/>
      <c r="H139" s="4"/>
      <c r="I139" s="4"/>
      <c r="J139" s="4"/>
      <c r="K139" s="4"/>
      <c r="L139" s="4"/>
      <c r="M139" s="4"/>
      <c r="N139" s="4"/>
      <c r="O139" s="4"/>
      <c r="P139" s="4" t="s">
        <v>681</v>
      </c>
      <c r="Q139" s="4"/>
      <c r="R139" s="4"/>
      <c r="S139" s="4"/>
      <c r="T139" s="4" t="s">
        <v>746</v>
      </c>
      <c r="U139" s="4" t="s">
        <v>35</v>
      </c>
      <c r="V139" s="4"/>
      <c r="W139" s="4"/>
      <c r="X139" s="4" t="s">
        <v>47</v>
      </c>
      <c r="Y139" s="4" t="s">
        <v>48</v>
      </c>
      <c r="Z139" s="4" t="s">
        <v>40</v>
      </c>
      <c r="AA139" s="4" t="s">
        <v>41</v>
      </c>
      <c r="AB139" s="5" t="s">
        <v>747</v>
      </c>
      <c r="AC139">
        <f>COUNTIF(Sheet1!$A$1:$A$50,Firms!A139)</f>
        <v>0</v>
      </c>
    </row>
    <row r="140" spans="1:29" ht="15" hidden="1" customHeight="1" x14ac:dyDescent="0.45">
      <c r="A140" s="2" t="s">
        <v>748</v>
      </c>
      <c r="B140" s="2" t="s">
        <v>29</v>
      </c>
      <c r="C140" s="2"/>
      <c r="D140" s="2" t="s">
        <v>749</v>
      </c>
      <c r="E140" s="2" t="s">
        <v>750</v>
      </c>
      <c r="F140" s="2" t="s">
        <v>81</v>
      </c>
      <c r="G140" s="2"/>
      <c r="H140" s="2"/>
      <c r="I140" s="2"/>
      <c r="J140" s="2"/>
      <c r="K140" s="2"/>
      <c r="L140" s="2"/>
      <c r="M140" s="2"/>
      <c r="N140" s="2"/>
      <c r="O140" s="2" t="s">
        <v>32</v>
      </c>
      <c r="P140" s="2" t="s">
        <v>751</v>
      </c>
      <c r="Q140" s="2"/>
      <c r="R140" s="2"/>
      <c r="S140" s="2"/>
      <c r="T140" s="2" t="s">
        <v>752</v>
      </c>
      <c r="U140" s="2" t="s">
        <v>35</v>
      </c>
      <c r="V140" s="2"/>
      <c r="W140" s="2"/>
      <c r="X140" s="2" t="s">
        <v>38</v>
      </c>
      <c r="Y140" s="2" t="s">
        <v>39</v>
      </c>
      <c r="Z140" s="2" t="s">
        <v>40</v>
      </c>
      <c r="AA140" s="2" t="s">
        <v>41</v>
      </c>
      <c r="AB140" s="3" t="s">
        <v>753</v>
      </c>
      <c r="AC140">
        <f>COUNTIF(Sheet1!$A$1:$A$50,Firms!A140)</f>
        <v>0</v>
      </c>
    </row>
    <row r="141" spans="1:29" ht="15" hidden="1" customHeight="1" x14ac:dyDescent="0.45">
      <c r="A141" s="6" t="s">
        <v>754</v>
      </c>
      <c r="B141" s="6" t="s">
        <v>29</v>
      </c>
      <c r="C141" s="6" t="s">
        <v>78</v>
      </c>
      <c r="D141" s="6" t="s">
        <v>755</v>
      </c>
      <c r="E141" s="6" t="s">
        <v>756</v>
      </c>
      <c r="F141" s="6" t="s">
        <v>31</v>
      </c>
      <c r="G141" s="6" t="s">
        <v>58</v>
      </c>
      <c r="H141" s="6" t="s">
        <v>55</v>
      </c>
      <c r="I141" s="6" t="s">
        <v>135</v>
      </c>
      <c r="J141" s="6" t="s">
        <v>54</v>
      </c>
      <c r="K141" s="6"/>
      <c r="L141" s="6"/>
      <c r="M141" s="6" t="s">
        <v>192</v>
      </c>
      <c r="N141" s="6" t="s">
        <v>110</v>
      </c>
      <c r="O141" s="6" t="s">
        <v>32</v>
      </c>
      <c r="P141" s="6" t="s">
        <v>757</v>
      </c>
      <c r="Q141" s="6"/>
      <c r="R141" s="6"/>
      <c r="S141" s="6"/>
      <c r="T141" s="6"/>
      <c r="U141" s="6" t="s">
        <v>35</v>
      </c>
      <c r="V141" s="6"/>
      <c r="W141" s="6"/>
      <c r="X141" s="6" t="s">
        <v>63</v>
      </c>
      <c r="Y141" s="6" t="s">
        <v>39</v>
      </c>
      <c r="Z141" s="6" t="s">
        <v>40</v>
      </c>
      <c r="AA141" s="6" t="s">
        <v>41</v>
      </c>
      <c r="AB141" s="7" t="s">
        <v>758</v>
      </c>
      <c r="AC141">
        <f>COUNTIF(Sheet1!$A$1:$A$50,Firms!A141)</f>
        <v>0</v>
      </c>
    </row>
    <row r="142" spans="1:29" ht="15" hidden="1" customHeight="1" x14ac:dyDescent="0.45">
      <c r="A142" s="2" t="s">
        <v>759</v>
      </c>
      <c r="B142" s="2" t="s">
        <v>29</v>
      </c>
      <c r="C142" s="2" t="s">
        <v>132</v>
      </c>
      <c r="D142" s="2" t="s">
        <v>163</v>
      </c>
      <c r="E142" s="2" t="s">
        <v>760</v>
      </c>
      <c r="F142" s="2" t="s">
        <v>31</v>
      </c>
      <c r="G142" s="2"/>
      <c r="H142" s="2"/>
      <c r="I142" s="2"/>
      <c r="J142" s="2"/>
      <c r="K142" s="2"/>
      <c r="L142" s="2"/>
      <c r="M142" s="2"/>
      <c r="N142" s="2"/>
      <c r="O142" s="2" t="s">
        <v>32</v>
      </c>
      <c r="P142" s="2" t="s">
        <v>378</v>
      </c>
      <c r="Q142" s="2"/>
      <c r="R142" s="2"/>
      <c r="S142" s="2"/>
      <c r="T142" s="2" t="s">
        <v>761</v>
      </c>
      <c r="U142" s="2" t="s">
        <v>35</v>
      </c>
      <c r="V142" s="2"/>
      <c r="W142" s="2"/>
      <c r="X142" s="2" t="s">
        <v>38</v>
      </c>
      <c r="Y142" s="2" t="s">
        <v>39</v>
      </c>
      <c r="Z142" s="2" t="s">
        <v>40</v>
      </c>
      <c r="AA142" s="2" t="s">
        <v>41</v>
      </c>
      <c r="AB142" s="3" t="s">
        <v>762</v>
      </c>
      <c r="AC142">
        <f>COUNTIF(Sheet1!$A$1:$A$50,Firms!A142)</f>
        <v>0</v>
      </c>
    </row>
    <row r="143" spans="1:29" ht="15" hidden="1" customHeight="1" x14ac:dyDescent="0.45">
      <c r="A143" s="4" t="s">
        <v>763</v>
      </c>
      <c r="B143" s="4" t="s">
        <v>44</v>
      </c>
      <c r="C143" s="4"/>
      <c r="D143" s="4"/>
      <c r="E143" s="4" t="s">
        <v>764</v>
      </c>
      <c r="F143" s="4"/>
      <c r="G143" s="4"/>
      <c r="H143" s="4"/>
      <c r="I143" s="4"/>
      <c r="J143" s="4"/>
      <c r="K143" s="4"/>
      <c r="L143" s="4"/>
      <c r="M143" s="4"/>
      <c r="N143" s="4"/>
      <c r="O143" s="4"/>
      <c r="P143" s="4" t="s">
        <v>544</v>
      </c>
      <c r="Q143" s="4"/>
      <c r="R143" s="4"/>
      <c r="S143" s="4"/>
      <c r="T143" s="4"/>
      <c r="U143" s="4" t="s">
        <v>207</v>
      </c>
      <c r="V143" s="4"/>
      <c r="W143" s="4"/>
      <c r="X143" s="4" t="s">
        <v>47</v>
      </c>
      <c r="Y143" s="4" t="s">
        <v>48</v>
      </c>
      <c r="Z143" s="4" t="s">
        <v>40</v>
      </c>
      <c r="AA143" s="4" t="s">
        <v>41</v>
      </c>
      <c r="AB143" s="5" t="s">
        <v>765</v>
      </c>
      <c r="AC143">
        <f>COUNTIF(Sheet1!$A$1:$A$50,Firms!A143)</f>
        <v>0</v>
      </c>
    </row>
    <row r="144" spans="1:29" ht="15" hidden="1" customHeight="1" x14ac:dyDescent="0.45">
      <c r="A144" s="6" t="s">
        <v>766</v>
      </c>
      <c r="B144" s="6" t="s">
        <v>29</v>
      </c>
      <c r="C144" s="6"/>
      <c r="D144" s="6"/>
      <c r="E144" s="6" t="s">
        <v>767</v>
      </c>
      <c r="F144" s="6" t="s">
        <v>81</v>
      </c>
      <c r="G144" s="6" t="s">
        <v>572</v>
      </c>
      <c r="H144" s="6" t="s">
        <v>768</v>
      </c>
      <c r="I144" s="6"/>
      <c r="J144" s="6"/>
      <c r="K144" s="6"/>
      <c r="L144" s="6"/>
      <c r="M144" s="6"/>
      <c r="N144" s="6" t="s">
        <v>456</v>
      </c>
      <c r="O144" s="6" t="s">
        <v>32</v>
      </c>
      <c r="P144" s="6" t="s">
        <v>93</v>
      </c>
      <c r="Q144" s="6"/>
      <c r="R144" s="6"/>
      <c r="S144" s="6"/>
      <c r="T144" s="6"/>
      <c r="U144" s="6" t="s">
        <v>35</v>
      </c>
      <c r="V144" s="6"/>
      <c r="W144" s="6"/>
      <c r="X144" s="6" t="s">
        <v>63</v>
      </c>
      <c r="Y144" s="6" t="s">
        <v>39</v>
      </c>
      <c r="Z144" s="6" t="s">
        <v>40</v>
      </c>
      <c r="AA144" s="6" t="s">
        <v>41</v>
      </c>
      <c r="AB144" s="7" t="s">
        <v>769</v>
      </c>
      <c r="AC144">
        <f>COUNTIF(Sheet1!$A$1:$A$50,Firms!A144)</f>
        <v>0</v>
      </c>
    </row>
    <row r="145" spans="1:30" ht="15" hidden="1" customHeight="1" x14ac:dyDescent="0.45">
      <c r="A145" s="2" t="s">
        <v>770</v>
      </c>
      <c r="B145" s="2" t="s">
        <v>29</v>
      </c>
      <c r="C145" s="2" t="s">
        <v>331</v>
      </c>
      <c r="D145" s="2" t="s">
        <v>332</v>
      </c>
      <c r="E145" s="2" t="s">
        <v>771</v>
      </c>
      <c r="F145" s="2" t="s">
        <v>31</v>
      </c>
      <c r="G145" s="2"/>
      <c r="H145" s="2"/>
      <c r="I145" s="2" t="s">
        <v>135</v>
      </c>
      <c r="J145" s="2"/>
      <c r="K145" s="2"/>
      <c r="L145" s="2"/>
      <c r="M145" s="2"/>
      <c r="N145" s="2"/>
      <c r="O145" s="2" t="s">
        <v>72</v>
      </c>
      <c r="P145" s="2" t="s">
        <v>111</v>
      </c>
      <c r="Q145" s="2"/>
      <c r="R145" s="2"/>
      <c r="S145" s="2"/>
      <c r="T145" s="2"/>
      <c r="U145" s="2" t="s">
        <v>35</v>
      </c>
      <c r="V145" s="2"/>
      <c r="W145" s="2"/>
      <c r="X145" s="2" t="s">
        <v>38</v>
      </c>
      <c r="Y145" s="2" t="s">
        <v>39</v>
      </c>
      <c r="Z145" s="2" t="s">
        <v>40</v>
      </c>
      <c r="AA145" s="2" t="s">
        <v>41</v>
      </c>
      <c r="AB145" s="3" t="s">
        <v>772</v>
      </c>
      <c r="AC145">
        <f>COUNTIF(Sheet1!$A$1:$A$50,Firms!A145)</f>
        <v>0</v>
      </c>
    </row>
    <row r="146" spans="1:30" ht="15" hidden="1" customHeight="1" x14ac:dyDescent="0.45">
      <c r="A146" s="2" t="s">
        <v>773</v>
      </c>
      <c r="B146" s="2" t="s">
        <v>29</v>
      </c>
      <c r="C146" s="2"/>
      <c r="D146" s="2"/>
      <c r="E146" s="2" t="s">
        <v>774</v>
      </c>
      <c r="F146" s="2"/>
      <c r="G146" s="2"/>
      <c r="H146" s="2"/>
      <c r="I146" s="2"/>
      <c r="J146" s="2"/>
      <c r="K146" s="2"/>
      <c r="L146" s="2"/>
      <c r="M146" s="2"/>
      <c r="N146" s="2"/>
      <c r="O146" s="2" t="s">
        <v>32</v>
      </c>
      <c r="P146" s="2" t="s">
        <v>775</v>
      </c>
      <c r="Q146" s="2"/>
      <c r="R146" s="2"/>
      <c r="S146" s="2"/>
      <c r="T146" s="2"/>
      <c r="U146" s="2" t="s">
        <v>35</v>
      </c>
      <c r="V146" s="2"/>
      <c r="W146" s="2"/>
      <c r="X146" s="2" t="s">
        <v>38</v>
      </c>
      <c r="Y146" s="2" t="s">
        <v>39</v>
      </c>
      <c r="Z146" s="2" t="s">
        <v>40</v>
      </c>
      <c r="AA146" s="2" t="s">
        <v>41</v>
      </c>
      <c r="AB146" s="3" t="s">
        <v>776</v>
      </c>
      <c r="AC146">
        <f>COUNTIF(Sheet1!$A$1:$A$50,Firms!A146)</f>
        <v>0</v>
      </c>
    </row>
    <row r="147" spans="1:30" ht="15" hidden="1" customHeight="1" x14ac:dyDescent="0.45">
      <c r="A147" s="6" t="s">
        <v>777</v>
      </c>
      <c r="B147" s="6" t="s">
        <v>29</v>
      </c>
      <c r="C147" s="6" t="s">
        <v>51</v>
      </c>
      <c r="D147" s="6" t="s">
        <v>52</v>
      </c>
      <c r="E147" s="6" t="s">
        <v>778</v>
      </c>
      <c r="F147" s="6" t="s">
        <v>81</v>
      </c>
      <c r="G147" s="6" t="s">
        <v>58</v>
      </c>
      <c r="H147" s="6" t="s">
        <v>572</v>
      </c>
      <c r="I147" s="6"/>
      <c r="J147" s="6"/>
      <c r="K147" s="6"/>
      <c r="L147" s="6"/>
      <c r="M147" s="6"/>
      <c r="N147" s="6"/>
      <c r="O147" s="6" t="s">
        <v>32</v>
      </c>
      <c r="P147" s="6" t="s">
        <v>46</v>
      </c>
      <c r="Q147" s="6"/>
      <c r="R147" s="6"/>
      <c r="S147" s="6"/>
      <c r="T147" s="6" t="s">
        <v>779</v>
      </c>
      <c r="U147" s="6" t="s">
        <v>35</v>
      </c>
      <c r="V147" s="6"/>
      <c r="W147" s="6"/>
      <c r="X147" s="6" t="s">
        <v>63</v>
      </c>
      <c r="Y147" s="6" t="s">
        <v>39</v>
      </c>
      <c r="Z147" s="6" t="s">
        <v>40</v>
      </c>
      <c r="AA147" s="6" t="s">
        <v>41</v>
      </c>
      <c r="AB147" s="7" t="s">
        <v>780</v>
      </c>
      <c r="AC147">
        <f>COUNTIF(Sheet1!$A$1:$A$50,Firms!A147)</f>
        <v>0</v>
      </c>
    </row>
    <row r="148" spans="1:30" ht="15" hidden="1" customHeight="1" x14ac:dyDescent="0.45">
      <c r="A148" s="2" t="s">
        <v>781</v>
      </c>
      <c r="B148" s="2" t="s">
        <v>29</v>
      </c>
      <c r="C148" s="2"/>
      <c r="D148" s="2"/>
      <c r="E148" s="2" t="s">
        <v>782</v>
      </c>
      <c r="F148" s="2" t="s">
        <v>81</v>
      </c>
      <c r="G148" s="2"/>
      <c r="H148" s="2"/>
      <c r="I148" s="2"/>
      <c r="J148" s="2"/>
      <c r="K148" s="2"/>
      <c r="L148" s="2"/>
      <c r="M148" s="2"/>
      <c r="N148" s="2"/>
      <c r="O148" s="2" t="s">
        <v>32</v>
      </c>
      <c r="P148" s="2" t="s">
        <v>111</v>
      </c>
      <c r="Q148" s="2"/>
      <c r="R148" s="2"/>
      <c r="S148" s="2"/>
      <c r="T148" s="2"/>
      <c r="U148" s="2" t="s">
        <v>35</v>
      </c>
      <c r="V148" s="2"/>
      <c r="W148" s="2"/>
      <c r="X148" s="2" t="s">
        <v>38</v>
      </c>
      <c r="Y148" s="2" t="s">
        <v>39</v>
      </c>
      <c r="Z148" s="2" t="s">
        <v>40</v>
      </c>
      <c r="AA148" s="2" t="s">
        <v>41</v>
      </c>
      <c r="AB148" s="3" t="s">
        <v>783</v>
      </c>
      <c r="AC148">
        <f>COUNTIF(Sheet1!$A$1:$A$50,Firms!A148)</f>
        <v>0</v>
      </c>
    </row>
    <row r="149" spans="1:30" ht="15" hidden="1" customHeight="1" x14ac:dyDescent="0.45">
      <c r="A149" s="2" t="s">
        <v>784</v>
      </c>
      <c r="B149" s="2" t="s">
        <v>29</v>
      </c>
      <c r="C149" s="2"/>
      <c r="D149" s="2"/>
      <c r="E149" s="2" t="s">
        <v>785</v>
      </c>
      <c r="F149" s="2" t="s">
        <v>31</v>
      </c>
      <c r="G149" s="2"/>
      <c r="H149" s="2"/>
      <c r="I149" s="2"/>
      <c r="J149" s="2"/>
      <c r="K149" s="2"/>
      <c r="L149" s="2"/>
      <c r="M149" s="2"/>
      <c r="N149" s="2"/>
      <c r="O149" s="2" t="s">
        <v>524</v>
      </c>
      <c r="P149" s="2" t="s">
        <v>554</v>
      </c>
      <c r="Q149" s="2"/>
      <c r="R149" s="2"/>
      <c r="S149" s="2"/>
      <c r="T149" s="2" t="s">
        <v>786</v>
      </c>
      <c r="U149" s="2" t="s">
        <v>35</v>
      </c>
      <c r="V149" s="2" t="s">
        <v>787</v>
      </c>
      <c r="W149" s="2"/>
      <c r="X149" s="2" t="s">
        <v>38</v>
      </c>
      <c r="Y149" s="2" t="s">
        <v>39</v>
      </c>
      <c r="Z149" s="2" t="s">
        <v>40</v>
      </c>
      <c r="AA149" s="2" t="s">
        <v>41</v>
      </c>
      <c r="AB149" s="3" t="s">
        <v>788</v>
      </c>
      <c r="AC149">
        <f>COUNTIF(Sheet1!$A$1:$A$50,Firms!A149)</f>
        <v>0</v>
      </c>
    </row>
    <row r="150" spans="1:30" ht="15" customHeight="1" x14ac:dyDescent="0.45">
      <c r="A150" s="2" t="s">
        <v>789</v>
      </c>
      <c r="B150" s="2" t="s">
        <v>29</v>
      </c>
      <c r="C150" s="2" t="s">
        <v>101</v>
      </c>
      <c r="D150" s="2" t="s">
        <v>557</v>
      </c>
      <c r="E150" s="2" t="s">
        <v>790</v>
      </c>
      <c r="F150" s="2" t="s">
        <v>31</v>
      </c>
      <c r="G150" s="2"/>
      <c r="H150" s="2"/>
      <c r="I150" s="2"/>
      <c r="J150" s="2"/>
      <c r="K150" s="2"/>
      <c r="L150" s="2"/>
      <c r="M150" s="2"/>
      <c r="N150" s="2"/>
      <c r="O150" s="2" t="s">
        <v>193</v>
      </c>
      <c r="P150" s="2" t="s">
        <v>105</v>
      </c>
      <c r="Q150" s="2"/>
      <c r="R150" s="2"/>
      <c r="S150" s="2"/>
      <c r="T150" s="2" t="s">
        <v>791</v>
      </c>
      <c r="U150" s="2" t="s">
        <v>35</v>
      </c>
      <c r="V150" s="2"/>
      <c r="W150" s="2"/>
      <c r="X150" s="2" t="s">
        <v>38</v>
      </c>
      <c r="Y150" s="2" t="s">
        <v>39</v>
      </c>
      <c r="Z150" s="2" t="s">
        <v>40</v>
      </c>
      <c r="AA150" s="2" t="s">
        <v>41</v>
      </c>
      <c r="AB150" s="3" t="s">
        <v>792</v>
      </c>
      <c r="AC150">
        <f>COUNTIF(Sheet1!$A$1:$A$50,Firms!A150)</f>
        <v>1</v>
      </c>
      <c r="AD150" t="str">
        <f>SUBSTITUTE(AB150,"Seeded from CapIQ export. Numeric fields are regex first-pass — c","C")</f>
        <v>Crawler will confirm. capiq_description preserved for AI extraction fallback. | [extractor] Francisco Partners is a leading technology-focused PE firm with 25+ years of track record, ~$50B capital raised, 450+ transactions, 100% tech &amp; tech-enabled services focus. Firm operates both private equity and credit strategies. HQ: San Francisco, CA with offices in London and New York. Named to GrowthCap's Top Growth Equity Firms of 2025, indicating growth equity activity alongside large buyouts (ranked top 3 in HEC Paris-Dow Jones large buyout performance). No specific check size, revenue, or EBITDA criteria found on website.</v>
      </c>
    </row>
    <row r="151" spans="1:30" ht="15" hidden="1" customHeight="1" x14ac:dyDescent="0.45">
      <c r="A151" s="2" t="s">
        <v>793</v>
      </c>
      <c r="B151" s="2" t="s">
        <v>29</v>
      </c>
      <c r="C151" s="2" t="s">
        <v>101</v>
      </c>
      <c r="D151" s="2" t="s">
        <v>151</v>
      </c>
      <c r="E151" s="2" t="s">
        <v>794</v>
      </c>
      <c r="F151" s="2" t="s">
        <v>81</v>
      </c>
      <c r="G151" s="2"/>
      <c r="H151" s="2"/>
      <c r="I151" s="2"/>
      <c r="J151" s="2"/>
      <c r="K151" s="2"/>
      <c r="L151" s="2"/>
      <c r="M151" s="2"/>
      <c r="N151" s="2"/>
      <c r="O151" s="2" t="s">
        <v>32</v>
      </c>
      <c r="P151" s="2" t="s">
        <v>554</v>
      </c>
      <c r="Q151" s="2"/>
      <c r="R151" s="2"/>
      <c r="S151" s="2"/>
      <c r="T151" s="2"/>
      <c r="U151" s="2" t="s">
        <v>35</v>
      </c>
      <c r="V151" s="2"/>
      <c r="W151" s="2"/>
      <c r="X151" s="2" t="s">
        <v>38</v>
      </c>
      <c r="Y151" s="2" t="s">
        <v>39</v>
      </c>
      <c r="Z151" s="2" t="s">
        <v>40</v>
      </c>
      <c r="AA151" s="2" t="s">
        <v>41</v>
      </c>
      <c r="AB151" s="3" t="s">
        <v>795</v>
      </c>
      <c r="AC151">
        <f>COUNTIF(Sheet1!$A$1:$A$50,Firms!A151)</f>
        <v>0</v>
      </c>
    </row>
    <row r="152" spans="1:30" ht="15" hidden="1" customHeight="1" x14ac:dyDescent="0.45">
      <c r="A152" s="4" t="s">
        <v>796</v>
      </c>
      <c r="B152" s="4" t="s">
        <v>44</v>
      </c>
      <c r="C152" s="4" t="s">
        <v>797</v>
      </c>
      <c r="D152" s="4" t="s">
        <v>467</v>
      </c>
      <c r="E152" s="4" t="s">
        <v>798</v>
      </c>
      <c r="F152" s="4"/>
      <c r="G152" s="4"/>
      <c r="H152" s="4"/>
      <c r="I152" s="4"/>
      <c r="J152" s="4"/>
      <c r="K152" s="4"/>
      <c r="L152" s="4"/>
      <c r="M152" s="4"/>
      <c r="N152" s="4"/>
      <c r="O152" s="4"/>
      <c r="P152" s="4" t="s">
        <v>226</v>
      </c>
      <c r="Q152" s="4"/>
      <c r="R152" s="4"/>
      <c r="S152" s="4"/>
      <c r="T152" s="4"/>
      <c r="U152" s="4" t="s">
        <v>35</v>
      </c>
      <c r="V152" s="4"/>
      <c r="W152" s="4"/>
      <c r="X152" s="4" t="s">
        <v>47</v>
      </c>
      <c r="Y152" s="4" t="s">
        <v>48</v>
      </c>
      <c r="Z152" s="4" t="s">
        <v>40</v>
      </c>
      <c r="AA152" s="4" t="s">
        <v>41</v>
      </c>
      <c r="AB152" s="5" t="s">
        <v>799</v>
      </c>
      <c r="AC152">
        <f>COUNTIF(Sheet1!$A$1:$A$50,Firms!A152)</f>
        <v>0</v>
      </c>
    </row>
    <row r="153" spans="1:30" ht="15" hidden="1" customHeight="1" x14ac:dyDescent="0.45">
      <c r="A153" s="6" t="s">
        <v>800</v>
      </c>
      <c r="B153" s="6" t="s">
        <v>29</v>
      </c>
      <c r="C153" s="6"/>
      <c r="D153" s="6"/>
      <c r="E153" s="6" t="s">
        <v>801</v>
      </c>
      <c r="F153" s="6" t="s">
        <v>31</v>
      </c>
      <c r="G153" s="6"/>
      <c r="H153" s="6"/>
      <c r="I153" s="6" t="s">
        <v>69</v>
      </c>
      <c r="J153" s="6" t="s">
        <v>173</v>
      </c>
      <c r="K153" s="6"/>
      <c r="L153" s="6"/>
      <c r="M153" s="6" t="s">
        <v>70</v>
      </c>
      <c r="N153" s="6" t="s">
        <v>136</v>
      </c>
      <c r="O153" s="6" t="s">
        <v>32</v>
      </c>
      <c r="P153" s="6" t="s">
        <v>484</v>
      </c>
      <c r="Q153" s="6"/>
      <c r="R153" s="6"/>
      <c r="S153" s="6"/>
      <c r="T153" s="6"/>
      <c r="U153" s="6" t="s">
        <v>35</v>
      </c>
      <c r="V153" s="6"/>
      <c r="W153" s="6"/>
      <c r="X153" s="6" t="s">
        <v>63</v>
      </c>
      <c r="Y153" s="6" t="s">
        <v>39</v>
      </c>
      <c r="Z153" s="6" t="s">
        <v>40</v>
      </c>
      <c r="AA153" s="6" t="s">
        <v>41</v>
      </c>
      <c r="AB153" s="7" t="s">
        <v>802</v>
      </c>
      <c r="AC153">
        <f>COUNTIF(Sheet1!$A$1:$A$50,Firms!A153)</f>
        <v>0</v>
      </c>
    </row>
    <row r="154" spans="1:30" ht="15" hidden="1" customHeight="1" x14ac:dyDescent="0.45">
      <c r="A154" s="4" t="s">
        <v>803</v>
      </c>
      <c r="B154" s="4" t="s">
        <v>29</v>
      </c>
      <c r="C154" s="4" t="s">
        <v>804</v>
      </c>
      <c r="D154" s="4" t="s">
        <v>805</v>
      </c>
      <c r="E154" s="4" t="s">
        <v>806</v>
      </c>
      <c r="F154" s="4"/>
      <c r="G154" s="4"/>
      <c r="H154" s="4"/>
      <c r="I154" s="4"/>
      <c r="J154" s="4"/>
      <c r="K154" s="4"/>
      <c r="L154" s="4"/>
      <c r="M154" s="4"/>
      <c r="N154" s="4"/>
      <c r="O154" s="4"/>
      <c r="P154" s="4" t="s">
        <v>201</v>
      </c>
      <c r="Q154" s="4"/>
      <c r="R154" s="4"/>
      <c r="S154" s="4"/>
      <c r="T154" s="4"/>
      <c r="U154" s="4" t="s">
        <v>35</v>
      </c>
      <c r="V154" s="4"/>
      <c r="W154" s="4"/>
      <c r="X154" s="4" t="s">
        <v>47</v>
      </c>
      <c r="Y154" s="4" t="s">
        <v>48</v>
      </c>
      <c r="Z154" s="4" t="s">
        <v>40</v>
      </c>
      <c r="AA154" s="4" t="s">
        <v>41</v>
      </c>
      <c r="AB154" s="5" t="s">
        <v>807</v>
      </c>
      <c r="AC154">
        <f>COUNTIF(Sheet1!$A$1:$A$50,Firms!A154)</f>
        <v>0</v>
      </c>
    </row>
    <row r="155" spans="1:30" ht="15" hidden="1" customHeight="1" x14ac:dyDescent="0.45">
      <c r="A155" s="2" t="s">
        <v>808</v>
      </c>
      <c r="B155" s="2" t="s">
        <v>29</v>
      </c>
      <c r="C155" s="2"/>
      <c r="D155" s="2"/>
      <c r="E155" s="2" t="s">
        <v>809</v>
      </c>
      <c r="F155" s="2" t="s">
        <v>81</v>
      </c>
      <c r="G155" s="2"/>
      <c r="H155" s="2"/>
      <c r="I155" s="2"/>
      <c r="J155" s="2"/>
      <c r="K155" s="2"/>
      <c r="L155" s="2"/>
      <c r="M155" s="2"/>
      <c r="N155" s="2"/>
      <c r="O155" s="2" t="s">
        <v>810</v>
      </c>
      <c r="P155" s="2" t="s">
        <v>811</v>
      </c>
      <c r="Q155" s="2"/>
      <c r="R155" s="2"/>
      <c r="S155" s="2"/>
      <c r="T155" s="2" t="s">
        <v>812</v>
      </c>
      <c r="U155" s="2" t="s">
        <v>35</v>
      </c>
      <c r="V155" s="2"/>
      <c r="W155" s="2" t="s">
        <v>813</v>
      </c>
      <c r="X155" s="2" t="s">
        <v>38</v>
      </c>
      <c r="Y155" s="2" t="s">
        <v>39</v>
      </c>
      <c r="Z155" s="2" t="s">
        <v>40</v>
      </c>
      <c r="AA155" s="2" t="s">
        <v>41</v>
      </c>
      <c r="AB155" s="3" t="s">
        <v>814</v>
      </c>
      <c r="AC155">
        <f>COUNTIF(Sheet1!$A$1:$A$50,Firms!A155)</f>
        <v>0</v>
      </c>
    </row>
    <row r="156" spans="1:30" ht="15" hidden="1" customHeight="1" x14ac:dyDescent="0.45">
      <c r="A156" s="6" t="s">
        <v>815</v>
      </c>
      <c r="B156" s="6" t="s">
        <v>29</v>
      </c>
      <c r="C156" s="6"/>
      <c r="D156" s="6"/>
      <c r="E156" s="6" t="s">
        <v>816</v>
      </c>
      <c r="F156" s="6" t="s">
        <v>31</v>
      </c>
      <c r="G156" s="6"/>
      <c r="H156" s="6"/>
      <c r="I156" s="6" t="s">
        <v>192</v>
      </c>
      <c r="J156" s="6" t="s">
        <v>110</v>
      </c>
      <c r="K156" s="6"/>
      <c r="L156" s="6"/>
      <c r="M156" s="6"/>
      <c r="N156" s="6"/>
      <c r="O156" s="6" t="s">
        <v>32</v>
      </c>
      <c r="P156" s="6" t="s">
        <v>111</v>
      </c>
      <c r="Q156" s="6"/>
      <c r="R156" s="6"/>
      <c r="S156" s="6"/>
      <c r="T156" s="6"/>
      <c r="U156" s="6" t="s">
        <v>35</v>
      </c>
      <c r="V156" s="6"/>
      <c r="W156" s="6"/>
      <c r="X156" s="6" t="s">
        <v>63</v>
      </c>
      <c r="Y156" s="6" t="s">
        <v>39</v>
      </c>
      <c r="Z156" s="6" t="s">
        <v>40</v>
      </c>
      <c r="AA156" s="6" t="s">
        <v>41</v>
      </c>
      <c r="AB156" s="7" t="s">
        <v>817</v>
      </c>
      <c r="AC156">
        <f>COUNTIF(Sheet1!$A$1:$A$50,Firms!A156)</f>
        <v>0</v>
      </c>
    </row>
    <row r="157" spans="1:30" ht="15" hidden="1" customHeight="1" x14ac:dyDescent="0.45">
      <c r="A157" s="4" t="s">
        <v>818</v>
      </c>
      <c r="B157" s="4" t="s">
        <v>44</v>
      </c>
      <c r="C157" s="4"/>
      <c r="D157" s="4"/>
      <c r="E157" s="4" t="s">
        <v>819</v>
      </c>
      <c r="F157" s="4"/>
      <c r="G157" s="4"/>
      <c r="H157" s="4"/>
      <c r="I157" s="4"/>
      <c r="J157" s="4"/>
      <c r="K157" s="4"/>
      <c r="L157" s="4"/>
      <c r="M157" s="4"/>
      <c r="N157" s="4"/>
      <c r="O157" s="4"/>
      <c r="P157" s="4" t="s">
        <v>309</v>
      </c>
      <c r="Q157" s="4"/>
      <c r="R157" s="4"/>
      <c r="S157" s="4"/>
      <c r="T157" s="4" t="s">
        <v>820</v>
      </c>
      <c r="U157" s="4" t="s">
        <v>35</v>
      </c>
      <c r="V157" s="4"/>
      <c r="W157" s="4"/>
      <c r="X157" s="4" t="s">
        <v>47</v>
      </c>
      <c r="Y157" s="4" t="s">
        <v>48</v>
      </c>
      <c r="Z157" s="4" t="s">
        <v>40</v>
      </c>
      <c r="AA157" s="4" t="s">
        <v>41</v>
      </c>
      <c r="AB157" s="5" t="s">
        <v>821</v>
      </c>
      <c r="AC157">
        <f>COUNTIF(Sheet1!$A$1:$A$50,Firms!A157)</f>
        <v>0</v>
      </c>
    </row>
    <row r="158" spans="1:30" ht="15" customHeight="1" x14ac:dyDescent="0.45">
      <c r="A158" s="6" t="s">
        <v>822</v>
      </c>
      <c r="B158" s="6" t="s">
        <v>29</v>
      </c>
      <c r="C158" s="6" t="s">
        <v>51</v>
      </c>
      <c r="D158" s="6" t="s">
        <v>52</v>
      </c>
      <c r="E158" s="6" t="s">
        <v>823</v>
      </c>
      <c r="F158" s="6" t="s">
        <v>81</v>
      </c>
      <c r="G158" s="6"/>
      <c r="H158" s="6"/>
      <c r="I158" s="6" t="s">
        <v>137</v>
      </c>
      <c r="J158" s="6"/>
      <c r="K158" s="6"/>
      <c r="L158" s="6"/>
      <c r="M158" s="6" t="s">
        <v>55</v>
      </c>
      <c r="N158" s="6"/>
      <c r="O158" s="6" t="s">
        <v>32</v>
      </c>
      <c r="P158" s="6" t="s">
        <v>253</v>
      </c>
      <c r="Q158" s="6"/>
      <c r="R158" s="6"/>
      <c r="S158" s="6"/>
      <c r="T158" s="6" t="s">
        <v>824</v>
      </c>
      <c r="U158" s="6" t="s">
        <v>35</v>
      </c>
      <c r="V158" s="6"/>
      <c r="W158" s="6" t="s">
        <v>825</v>
      </c>
      <c r="X158" s="6" t="s">
        <v>63</v>
      </c>
      <c r="Y158" s="6" t="s">
        <v>39</v>
      </c>
      <c r="Z158" s="6" t="s">
        <v>40</v>
      </c>
      <c r="AA158" s="6" t="s">
        <v>41</v>
      </c>
      <c r="AB158" s="7" t="s">
        <v>826</v>
      </c>
      <c r="AC158">
        <f>COUNTIF(Sheet1!$A$1:$A$50,Firms!A158)</f>
        <v>1</v>
      </c>
      <c r="AD158" t="str">
        <f>SUBSTITUTE(AB158,"Seeded from CapIQ export. Numeric fields are regex first-pass — c","C")</f>
        <v>Crawler will confirm. capiq_description preserved for AI extraction fallback. | [extractor] Founded 2018. Middle-market PE firm focused on control investments in industrial companies across North America. Target EBITDA $20-50+M. Equity investment size $100-300+M. Portfolio companies include CPL, Corvant, Horizon Global, WSB Engineering, JohnsByrne, Auveco, ITS Logistics, Hasa Inc, Supreme Cabinetry, Brown &amp; Settle. Multiple funds identified (Fund I, Fund II, Pre-Fund). AUM stated as $2.8+ billion.</v>
      </c>
    </row>
    <row r="159" spans="1:30" ht="15" hidden="1" customHeight="1" x14ac:dyDescent="0.45">
      <c r="A159" s="4" t="s">
        <v>827</v>
      </c>
      <c r="B159" s="4" t="s">
        <v>44</v>
      </c>
      <c r="C159" s="4"/>
      <c r="D159" s="4"/>
      <c r="E159" s="4" t="s">
        <v>828</v>
      </c>
      <c r="F159" s="4"/>
      <c r="G159" s="4"/>
      <c r="H159" s="4"/>
      <c r="I159" s="4"/>
      <c r="J159" s="4"/>
      <c r="K159" s="4"/>
      <c r="L159" s="4"/>
      <c r="M159" s="4"/>
      <c r="N159" s="4"/>
      <c r="O159" s="4"/>
      <c r="P159" s="4" t="s">
        <v>283</v>
      </c>
      <c r="Q159" s="4"/>
      <c r="R159" s="4"/>
      <c r="S159" s="4"/>
      <c r="T159" s="4" t="s">
        <v>829</v>
      </c>
      <c r="U159" s="4" t="s">
        <v>35</v>
      </c>
      <c r="V159" s="4"/>
      <c r="W159" s="4"/>
      <c r="X159" s="4" t="s">
        <v>47</v>
      </c>
      <c r="Y159" s="4" t="s">
        <v>48</v>
      </c>
      <c r="Z159" s="4" t="s">
        <v>40</v>
      </c>
      <c r="AA159" s="4" t="s">
        <v>41</v>
      </c>
      <c r="AB159" s="5" t="s">
        <v>830</v>
      </c>
      <c r="AC159">
        <f>COUNTIF(Sheet1!$A$1:$A$50,Firms!A159)</f>
        <v>0</v>
      </c>
    </row>
    <row r="160" spans="1:30" ht="15" hidden="1" customHeight="1" x14ac:dyDescent="0.45">
      <c r="A160" s="2" t="s">
        <v>831</v>
      </c>
      <c r="B160" s="2" t="s">
        <v>29</v>
      </c>
      <c r="C160" s="2"/>
      <c r="D160" s="2"/>
      <c r="E160" s="2" t="s">
        <v>832</v>
      </c>
      <c r="F160" s="2"/>
      <c r="G160" s="2"/>
      <c r="H160" s="2"/>
      <c r="I160" s="2"/>
      <c r="J160" s="2"/>
      <c r="K160" s="2"/>
      <c r="L160" s="2"/>
      <c r="M160" s="2"/>
      <c r="N160" s="2"/>
      <c r="O160" s="2" t="s">
        <v>32</v>
      </c>
      <c r="P160" s="2" t="s">
        <v>833</v>
      </c>
      <c r="Q160" s="2"/>
      <c r="R160" s="2"/>
      <c r="S160" s="2"/>
      <c r="T160" s="2"/>
      <c r="U160" s="2" t="s">
        <v>35</v>
      </c>
      <c r="V160" s="2"/>
      <c r="W160" s="2"/>
      <c r="X160" s="2" t="s">
        <v>38</v>
      </c>
      <c r="Y160" s="2" t="s">
        <v>39</v>
      </c>
      <c r="Z160" s="2" t="s">
        <v>40</v>
      </c>
      <c r="AA160" s="2" t="s">
        <v>41</v>
      </c>
      <c r="AB160" s="3" t="s">
        <v>834</v>
      </c>
      <c r="AC160">
        <f>COUNTIF(Sheet1!$A$1:$A$50,Firms!A160)</f>
        <v>0</v>
      </c>
    </row>
    <row r="161" spans="1:30" ht="15" hidden="1" customHeight="1" x14ac:dyDescent="0.45">
      <c r="A161" s="4" t="s">
        <v>835</v>
      </c>
      <c r="B161" s="4" t="s">
        <v>44</v>
      </c>
      <c r="C161" s="4"/>
      <c r="D161" s="4"/>
      <c r="E161" s="4" t="s">
        <v>836</v>
      </c>
      <c r="F161" s="4"/>
      <c r="G161" s="4"/>
      <c r="H161" s="4"/>
      <c r="I161" s="4"/>
      <c r="J161" s="4"/>
      <c r="K161" s="4"/>
      <c r="L161" s="4"/>
      <c r="M161" s="4"/>
      <c r="N161" s="4"/>
      <c r="O161" s="4"/>
      <c r="P161" s="4" t="s">
        <v>201</v>
      </c>
      <c r="Q161" s="4"/>
      <c r="R161" s="4"/>
      <c r="S161" s="4"/>
      <c r="T161" s="4"/>
      <c r="U161" s="4" t="s">
        <v>35</v>
      </c>
      <c r="V161" s="4"/>
      <c r="W161" s="4"/>
      <c r="X161" s="4" t="s">
        <v>47</v>
      </c>
      <c r="Y161" s="4" t="s">
        <v>48</v>
      </c>
      <c r="Z161" s="4" t="s">
        <v>40</v>
      </c>
      <c r="AA161" s="4" t="s">
        <v>41</v>
      </c>
      <c r="AB161" s="5" t="s">
        <v>837</v>
      </c>
      <c r="AC161">
        <f>COUNTIF(Sheet1!$A$1:$A$50,Firms!A161)</f>
        <v>0</v>
      </c>
    </row>
    <row r="162" spans="1:30" ht="15" hidden="1" customHeight="1" x14ac:dyDescent="0.45">
      <c r="A162" s="2" t="s">
        <v>838</v>
      </c>
      <c r="B162" s="2" t="s">
        <v>29</v>
      </c>
      <c r="C162" s="2" t="s">
        <v>839</v>
      </c>
      <c r="D162" s="2" t="s">
        <v>273</v>
      </c>
      <c r="E162" s="2" t="s">
        <v>840</v>
      </c>
      <c r="F162" s="2" t="s">
        <v>31</v>
      </c>
      <c r="G162" s="2"/>
      <c r="H162" s="2"/>
      <c r="I162" s="2"/>
      <c r="J162" s="2"/>
      <c r="K162" s="2"/>
      <c r="L162" s="2"/>
      <c r="M162" s="2"/>
      <c r="N162" s="2"/>
      <c r="O162" s="2" t="s">
        <v>32</v>
      </c>
      <c r="P162" s="2" t="s">
        <v>841</v>
      </c>
      <c r="Q162" s="2" t="s">
        <v>842</v>
      </c>
      <c r="R162" s="2"/>
      <c r="S162" s="2"/>
      <c r="T162" s="2" t="s">
        <v>843</v>
      </c>
      <c r="U162" s="2" t="s">
        <v>35</v>
      </c>
      <c r="V162" s="2"/>
      <c r="W162" s="2"/>
      <c r="X162" s="2" t="s">
        <v>38</v>
      </c>
      <c r="Y162" s="2" t="s">
        <v>39</v>
      </c>
      <c r="Z162" s="2" t="s">
        <v>40</v>
      </c>
      <c r="AA162" s="2" t="s">
        <v>41</v>
      </c>
      <c r="AB162" s="3" t="s">
        <v>844</v>
      </c>
      <c r="AC162">
        <f>COUNTIF(Sheet1!$A$1:$A$50,Firms!A162)</f>
        <v>0</v>
      </c>
    </row>
    <row r="163" spans="1:30" ht="15" hidden="1" customHeight="1" x14ac:dyDescent="0.45">
      <c r="A163" s="2" t="s">
        <v>845</v>
      </c>
      <c r="B163" s="2" t="s">
        <v>29</v>
      </c>
      <c r="C163" s="2" t="s">
        <v>331</v>
      </c>
      <c r="D163" s="2" t="s">
        <v>332</v>
      </c>
      <c r="E163" s="2" t="s">
        <v>846</v>
      </c>
      <c r="F163" s="2" t="s">
        <v>81</v>
      </c>
      <c r="G163" s="2"/>
      <c r="H163" s="2"/>
      <c r="I163" s="2"/>
      <c r="J163" s="2"/>
      <c r="K163" s="2"/>
      <c r="L163" s="2"/>
      <c r="M163" s="2"/>
      <c r="N163" s="2"/>
      <c r="O163" s="2" t="s">
        <v>32</v>
      </c>
      <c r="P163" s="2" t="s">
        <v>253</v>
      </c>
      <c r="Q163" s="2"/>
      <c r="R163" s="2"/>
      <c r="S163" s="2"/>
      <c r="T163" s="2" t="s">
        <v>847</v>
      </c>
      <c r="U163" s="2" t="s">
        <v>35</v>
      </c>
      <c r="V163" s="2" t="s">
        <v>848</v>
      </c>
      <c r="W163" s="2"/>
      <c r="X163" s="2" t="s">
        <v>38</v>
      </c>
      <c r="Y163" s="2" t="s">
        <v>39</v>
      </c>
      <c r="Z163" s="2" t="s">
        <v>40</v>
      </c>
      <c r="AA163" s="2" t="s">
        <v>41</v>
      </c>
      <c r="AB163" s="3" t="s">
        <v>849</v>
      </c>
      <c r="AC163">
        <f>COUNTIF(Sheet1!$A$1:$A$50,Firms!A163)</f>
        <v>0</v>
      </c>
    </row>
    <row r="164" spans="1:30" ht="15" hidden="1" customHeight="1" x14ac:dyDescent="0.45">
      <c r="A164" s="2" t="s">
        <v>850</v>
      </c>
      <c r="B164" s="2" t="s">
        <v>29</v>
      </c>
      <c r="C164" s="2"/>
      <c r="D164" s="2"/>
      <c r="E164" s="2" t="s">
        <v>851</v>
      </c>
      <c r="F164" s="2" t="s">
        <v>81</v>
      </c>
      <c r="G164" s="2" t="s">
        <v>69</v>
      </c>
      <c r="H164" s="2"/>
      <c r="I164" s="2"/>
      <c r="J164" s="2"/>
      <c r="K164" s="2"/>
      <c r="L164" s="2"/>
      <c r="M164" s="2"/>
      <c r="N164" s="2"/>
      <c r="O164" s="2" t="s">
        <v>32</v>
      </c>
      <c r="P164" s="2" t="s">
        <v>73</v>
      </c>
      <c r="Q164" s="2"/>
      <c r="R164" s="2"/>
      <c r="S164" s="2"/>
      <c r="T164" s="2" t="s">
        <v>852</v>
      </c>
      <c r="U164" s="2" t="s">
        <v>35</v>
      </c>
      <c r="V164" s="2"/>
      <c r="W164" s="2"/>
      <c r="X164" s="2" t="s">
        <v>38</v>
      </c>
      <c r="Y164" s="2" t="s">
        <v>39</v>
      </c>
      <c r="Z164" s="2" t="s">
        <v>40</v>
      </c>
      <c r="AA164" s="2" t="s">
        <v>41</v>
      </c>
      <c r="AB164" s="3" t="s">
        <v>853</v>
      </c>
      <c r="AC164">
        <f>COUNTIF(Sheet1!$A$1:$A$50,Firms!A164)</f>
        <v>0</v>
      </c>
    </row>
    <row r="165" spans="1:30" ht="15" hidden="1" customHeight="1" x14ac:dyDescent="0.45">
      <c r="A165" s="6" t="s">
        <v>854</v>
      </c>
      <c r="B165" s="6" t="s">
        <v>29</v>
      </c>
      <c r="C165" s="6" t="s">
        <v>132</v>
      </c>
      <c r="D165" s="6" t="s">
        <v>855</v>
      </c>
      <c r="E165" s="6" t="s">
        <v>856</v>
      </c>
      <c r="F165" s="6" t="s">
        <v>81</v>
      </c>
      <c r="G165" s="6" t="s">
        <v>418</v>
      </c>
      <c r="H165" s="6"/>
      <c r="I165" s="6" t="s">
        <v>69</v>
      </c>
      <c r="J165" s="6"/>
      <c r="K165" s="6" t="s">
        <v>70</v>
      </c>
      <c r="L165" s="6" t="s">
        <v>456</v>
      </c>
      <c r="M165" s="6"/>
      <c r="N165" s="6"/>
      <c r="O165" s="6" t="s">
        <v>82</v>
      </c>
      <c r="P165" s="6" t="s">
        <v>857</v>
      </c>
      <c r="Q165" s="6"/>
      <c r="R165" s="6"/>
      <c r="S165" s="6"/>
      <c r="T165" s="6"/>
      <c r="U165" s="6" t="s">
        <v>35</v>
      </c>
      <c r="V165" s="6"/>
      <c r="W165" s="6"/>
      <c r="X165" s="6" t="s">
        <v>63</v>
      </c>
      <c r="Y165" s="6" t="s">
        <v>39</v>
      </c>
      <c r="Z165" s="6" t="s">
        <v>40</v>
      </c>
      <c r="AA165" s="6" t="s">
        <v>41</v>
      </c>
      <c r="AB165" s="7" t="s">
        <v>858</v>
      </c>
      <c r="AC165">
        <f>COUNTIF(Sheet1!$A$1:$A$50,Firms!A165)</f>
        <v>0</v>
      </c>
    </row>
    <row r="166" spans="1:30" ht="15" hidden="1" customHeight="1" x14ac:dyDescent="0.45">
      <c r="A166" s="2" t="s">
        <v>859</v>
      </c>
      <c r="B166" s="2" t="s">
        <v>29</v>
      </c>
      <c r="C166" s="2"/>
      <c r="D166" s="2"/>
      <c r="E166" s="2" t="s">
        <v>860</v>
      </c>
      <c r="F166" s="2" t="s">
        <v>31</v>
      </c>
      <c r="G166" s="2"/>
      <c r="H166" s="2"/>
      <c r="I166" s="2"/>
      <c r="J166" s="2"/>
      <c r="K166" s="2"/>
      <c r="L166" s="2"/>
      <c r="M166" s="2"/>
      <c r="N166" s="2"/>
      <c r="O166" s="2" t="s">
        <v>861</v>
      </c>
      <c r="P166" s="2" t="s">
        <v>494</v>
      </c>
      <c r="Q166" s="2"/>
      <c r="R166" s="2"/>
      <c r="S166" s="2"/>
      <c r="T166" s="2" t="s">
        <v>862</v>
      </c>
      <c r="U166" s="2" t="s">
        <v>35</v>
      </c>
      <c r="V166" s="2"/>
      <c r="W166" s="2"/>
      <c r="X166" s="2" t="s">
        <v>38</v>
      </c>
      <c r="Y166" s="2" t="s">
        <v>39</v>
      </c>
      <c r="Z166" s="2" t="s">
        <v>40</v>
      </c>
      <c r="AA166" s="2" t="s">
        <v>41</v>
      </c>
      <c r="AB166" s="3" t="s">
        <v>863</v>
      </c>
      <c r="AC166">
        <f>COUNTIF(Sheet1!$A$1:$A$50,Firms!A166)</f>
        <v>0</v>
      </c>
    </row>
    <row r="167" spans="1:30" ht="15" hidden="1" customHeight="1" x14ac:dyDescent="0.45">
      <c r="A167" s="2" t="s">
        <v>864</v>
      </c>
      <c r="B167" s="2" t="s">
        <v>29</v>
      </c>
      <c r="C167" s="2" t="s">
        <v>331</v>
      </c>
      <c r="D167" s="2" t="s">
        <v>332</v>
      </c>
      <c r="E167" s="2" t="s">
        <v>865</v>
      </c>
      <c r="F167" s="2" t="s">
        <v>31</v>
      </c>
      <c r="G167" s="2"/>
      <c r="H167" s="2"/>
      <c r="I167" s="2"/>
      <c r="J167" s="2"/>
      <c r="K167" s="2"/>
      <c r="L167" s="2"/>
      <c r="M167" s="2"/>
      <c r="N167" s="2"/>
      <c r="O167" s="2" t="s">
        <v>32</v>
      </c>
      <c r="P167" s="2" t="s">
        <v>111</v>
      </c>
      <c r="Q167" s="2"/>
      <c r="R167" s="2"/>
      <c r="S167" s="2"/>
      <c r="T167" s="2" t="s">
        <v>866</v>
      </c>
      <c r="U167" s="2" t="s">
        <v>207</v>
      </c>
      <c r="V167" s="2"/>
      <c r="W167" s="2"/>
      <c r="X167" s="2" t="s">
        <v>38</v>
      </c>
      <c r="Y167" s="2" t="s">
        <v>39</v>
      </c>
      <c r="Z167" s="2" t="s">
        <v>40</v>
      </c>
      <c r="AA167" s="2" t="s">
        <v>41</v>
      </c>
      <c r="AB167" s="3" t="s">
        <v>867</v>
      </c>
      <c r="AC167">
        <f>COUNTIF(Sheet1!$A$1:$A$50,Firms!A167)</f>
        <v>0</v>
      </c>
    </row>
    <row r="168" spans="1:30" ht="15" hidden="1" customHeight="1" x14ac:dyDescent="0.45">
      <c r="A168" s="4" t="s">
        <v>868</v>
      </c>
      <c r="B168" s="4" t="s">
        <v>44</v>
      </c>
      <c r="C168" s="4"/>
      <c r="D168" s="4"/>
      <c r="E168" s="4" t="s">
        <v>869</v>
      </c>
      <c r="F168" s="4"/>
      <c r="G168" s="4"/>
      <c r="H168" s="4"/>
      <c r="I168" s="4"/>
      <c r="J168" s="4"/>
      <c r="K168" s="4"/>
      <c r="L168" s="4"/>
      <c r="M168" s="4"/>
      <c r="N168" s="4"/>
      <c r="O168" s="4"/>
      <c r="P168" s="4" t="s">
        <v>681</v>
      </c>
      <c r="Q168" s="4"/>
      <c r="R168" s="4"/>
      <c r="S168" s="4"/>
      <c r="T168" s="4"/>
      <c r="U168" s="4" t="s">
        <v>35</v>
      </c>
      <c r="V168" s="4"/>
      <c r="W168" s="4"/>
      <c r="X168" s="4" t="s">
        <v>47</v>
      </c>
      <c r="Y168" s="4" t="s">
        <v>48</v>
      </c>
      <c r="Z168" s="4" t="s">
        <v>40</v>
      </c>
      <c r="AA168" s="4" t="s">
        <v>41</v>
      </c>
      <c r="AB168" s="5" t="s">
        <v>870</v>
      </c>
      <c r="AC168">
        <f>COUNTIF(Sheet1!$A$1:$A$50,Firms!A168)</f>
        <v>0</v>
      </c>
    </row>
    <row r="169" spans="1:30" ht="15" customHeight="1" x14ac:dyDescent="0.45">
      <c r="A169" s="6" t="s">
        <v>871</v>
      </c>
      <c r="B169" s="6" t="s">
        <v>29</v>
      </c>
      <c r="C169" s="6" t="s">
        <v>331</v>
      </c>
      <c r="D169" s="6" t="s">
        <v>332</v>
      </c>
      <c r="E169" s="6" t="s">
        <v>872</v>
      </c>
      <c r="F169" s="6" t="s">
        <v>31</v>
      </c>
      <c r="G169" s="6"/>
      <c r="H169" s="6"/>
      <c r="I169" s="6" t="s">
        <v>192</v>
      </c>
      <c r="J169" s="6" t="s">
        <v>173</v>
      </c>
      <c r="K169" s="6"/>
      <c r="L169" s="6"/>
      <c r="M169" s="6" t="s">
        <v>70</v>
      </c>
      <c r="N169" s="6" t="s">
        <v>136</v>
      </c>
      <c r="O169" s="6" t="s">
        <v>32</v>
      </c>
      <c r="P169" s="6" t="s">
        <v>111</v>
      </c>
      <c r="Q169" s="6"/>
      <c r="R169" s="6"/>
      <c r="S169" s="6"/>
      <c r="T169" s="6" t="s">
        <v>873</v>
      </c>
      <c r="U169" s="6" t="s">
        <v>35</v>
      </c>
      <c r="V169" s="6" t="s">
        <v>874</v>
      </c>
      <c r="W169" s="6"/>
      <c r="X169" s="6" t="s">
        <v>63</v>
      </c>
      <c r="Y169" s="6" t="s">
        <v>39</v>
      </c>
      <c r="Z169" s="6" t="s">
        <v>40</v>
      </c>
      <c r="AA169" s="6" t="s">
        <v>41</v>
      </c>
      <c r="AB169" s="7" t="s">
        <v>875</v>
      </c>
      <c r="AC169">
        <f>COUNTIF(Sheet1!$A$1:$A$50,Firms!A169)</f>
        <v>1</v>
      </c>
      <c r="AD169" t="str">
        <f>SUBSTITUTE(AB169,"Seeded from CapIQ export. Numeric fields are regex first-pass — c","C")</f>
        <v>Crawler will confirm. capiq_description preserved for AI extraction fallback. | [extractor] Good Springs Capital LP established 2023. Inaugural fund raised $570M in Jan 2025, exceeding $600M in AUM. Focus on middle-market platform companies in industrials and services with majority control positions or minority leading to majority. Team previously built Alleghany Capital (2013-2023) with 8 portfolio companies generating ~$5B revenue in 2022. Recent deals include Snyder Environmental Services (May 2026), Falasca Mechanical (Oct 2025), Kimbel Mechanical add-on Gibson Plumbing (May 2025), Tectonic Engineering (Oct 2024). HQ: 1450 Broadway, 39th Floor, New York, NY 10018.</v>
      </c>
    </row>
    <row r="170" spans="1:30" ht="15" hidden="1" customHeight="1" x14ac:dyDescent="0.45">
      <c r="A170" s="6" t="s">
        <v>876</v>
      </c>
      <c r="B170" s="6" t="s">
        <v>29</v>
      </c>
      <c r="C170" s="6"/>
      <c r="D170" s="6"/>
      <c r="E170" s="6" t="s">
        <v>877</v>
      </c>
      <c r="F170" s="6" t="s">
        <v>31</v>
      </c>
      <c r="G170" s="6"/>
      <c r="H170" s="6"/>
      <c r="I170" s="6" t="s">
        <v>69</v>
      </c>
      <c r="J170" s="6" t="s">
        <v>70</v>
      </c>
      <c r="K170" s="6"/>
      <c r="L170" s="6"/>
      <c r="M170" s="6"/>
      <c r="N170" s="6"/>
      <c r="O170" s="6" t="s">
        <v>32</v>
      </c>
      <c r="P170" s="6" t="s">
        <v>93</v>
      </c>
      <c r="Q170" s="6"/>
      <c r="R170" s="6"/>
      <c r="S170" s="6"/>
      <c r="T170" s="6"/>
      <c r="U170" s="6" t="s">
        <v>35</v>
      </c>
      <c r="V170" s="6"/>
      <c r="W170" s="6"/>
      <c r="X170" s="6" t="s">
        <v>63</v>
      </c>
      <c r="Y170" s="6" t="s">
        <v>39</v>
      </c>
      <c r="Z170" s="6" t="s">
        <v>40</v>
      </c>
      <c r="AA170" s="6" t="s">
        <v>41</v>
      </c>
      <c r="AB170" s="7" t="s">
        <v>878</v>
      </c>
      <c r="AC170">
        <f>COUNTIF(Sheet1!$A$1:$A$50,Firms!A170)</f>
        <v>0</v>
      </c>
    </row>
    <row r="171" spans="1:30" ht="15" hidden="1" customHeight="1" x14ac:dyDescent="0.45">
      <c r="A171" s="6" t="s">
        <v>879</v>
      </c>
      <c r="B171" s="6" t="s">
        <v>29</v>
      </c>
      <c r="C171" s="6" t="s">
        <v>331</v>
      </c>
      <c r="D171" s="6" t="s">
        <v>332</v>
      </c>
      <c r="E171" s="6" t="s">
        <v>880</v>
      </c>
      <c r="F171" s="6" t="s">
        <v>81</v>
      </c>
      <c r="G171" s="6"/>
      <c r="H171" s="6"/>
      <c r="I171" s="6" t="s">
        <v>69</v>
      </c>
      <c r="J171" s="6" t="s">
        <v>58</v>
      </c>
      <c r="K171" s="6"/>
      <c r="L171" s="6"/>
      <c r="M171" s="6"/>
      <c r="N171" s="6"/>
      <c r="O171" s="6" t="s">
        <v>60</v>
      </c>
      <c r="P171" s="6" t="s">
        <v>158</v>
      </c>
      <c r="Q171" s="6"/>
      <c r="R171" s="6"/>
      <c r="S171" s="6"/>
      <c r="T171" s="6"/>
      <c r="U171" s="6" t="s">
        <v>35</v>
      </c>
      <c r="V171" s="6"/>
      <c r="W171" s="6"/>
      <c r="X171" s="6" t="s">
        <v>63</v>
      </c>
      <c r="Y171" s="6" t="s">
        <v>39</v>
      </c>
      <c r="Z171" s="6" t="s">
        <v>40</v>
      </c>
      <c r="AA171" s="6" t="s">
        <v>41</v>
      </c>
      <c r="AB171" s="7" t="s">
        <v>881</v>
      </c>
      <c r="AC171">
        <f>COUNTIF(Sheet1!$A$1:$A$50,Firms!A171)</f>
        <v>0</v>
      </c>
    </row>
    <row r="172" spans="1:30" ht="15" hidden="1" customHeight="1" x14ac:dyDescent="0.45">
      <c r="A172" s="2" t="s">
        <v>882</v>
      </c>
      <c r="B172" s="2" t="s">
        <v>29</v>
      </c>
      <c r="C172" s="2"/>
      <c r="D172" s="2"/>
      <c r="E172" s="2" t="s">
        <v>883</v>
      </c>
      <c r="F172" s="2" t="s">
        <v>81</v>
      </c>
      <c r="G172" s="2"/>
      <c r="H172" s="2"/>
      <c r="I172" s="2"/>
      <c r="J172" s="2"/>
      <c r="K172" s="2"/>
      <c r="L172" s="2"/>
      <c r="M172" s="2"/>
      <c r="N172" s="2"/>
      <c r="O172" s="2" t="s">
        <v>32</v>
      </c>
      <c r="P172" s="2" t="s">
        <v>111</v>
      </c>
      <c r="Q172" s="2"/>
      <c r="R172" s="2"/>
      <c r="S172" s="2"/>
      <c r="T172" s="2" t="s">
        <v>884</v>
      </c>
      <c r="U172" s="2" t="s">
        <v>35</v>
      </c>
      <c r="V172" s="2" t="s">
        <v>885</v>
      </c>
      <c r="W172" s="2"/>
      <c r="X172" s="2" t="s">
        <v>38</v>
      </c>
      <c r="Y172" s="2" t="s">
        <v>39</v>
      </c>
      <c r="Z172" s="2" t="s">
        <v>40</v>
      </c>
      <c r="AA172" s="2" t="s">
        <v>41</v>
      </c>
      <c r="AB172" s="3" t="s">
        <v>886</v>
      </c>
      <c r="AC172">
        <f>COUNTIF(Sheet1!$A$1:$A$50,Firms!A172)</f>
        <v>0</v>
      </c>
    </row>
    <row r="173" spans="1:30" ht="15" hidden="1" customHeight="1" x14ac:dyDescent="0.45">
      <c r="A173" s="4" t="s">
        <v>887</v>
      </c>
      <c r="B173" s="4" t="s">
        <v>44</v>
      </c>
      <c r="C173" s="4"/>
      <c r="D173" s="4"/>
      <c r="E173" s="4" t="s">
        <v>888</v>
      </c>
      <c r="F173" s="4"/>
      <c r="G173" s="4"/>
      <c r="H173" s="4"/>
      <c r="I173" s="4"/>
      <c r="J173" s="4"/>
      <c r="K173" s="4"/>
      <c r="L173" s="4"/>
      <c r="M173" s="4"/>
      <c r="N173" s="4"/>
      <c r="O173" s="4"/>
      <c r="P173" s="4" t="s">
        <v>889</v>
      </c>
      <c r="Q173" s="4"/>
      <c r="R173" s="4"/>
      <c r="S173" s="4"/>
      <c r="T173" s="4" t="s">
        <v>890</v>
      </c>
      <c r="U173" s="4" t="s">
        <v>35</v>
      </c>
      <c r="V173" s="4"/>
      <c r="W173" s="4"/>
      <c r="X173" s="4" t="s">
        <v>47</v>
      </c>
      <c r="Y173" s="4" t="s">
        <v>48</v>
      </c>
      <c r="Z173" s="4" t="s">
        <v>40</v>
      </c>
      <c r="AA173" s="4" t="s">
        <v>41</v>
      </c>
      <c r="AB173" s="5" t="s">
        <v>891</v>
      </c>
      <c r="AC173">
        <f>COUNTIF(Sheet1!$A$1:$A$50,Firms!A173)</f>
        <v>0</v>
      </c>
    </row>
    <row r="174" spans="1:30" ht="15" hidden="1" customHeight="1" x14ac:dyDescent="0.45">
      <c r="A174" s="6" t="s">
        <v>892</v>
      </c>
      <c r="B174" s="6" t="s">
        <v>29</v>
      </c>
      <c r="C174" s="6" t="s">
        <v>893</v>
      </c>
      <c r="D174" s="6"/>
      <c r="E174" s="6" t="s">
        <v>894</v>
      </c>
      <c r="F174" s="6" t="s">
        <v>81</v>
      </c>
      <c r="G174" s="6"/>
      <c r="H174" s="6"/>
      <c r="I174" s="6"/>
      <c r="J174" s="6"/>
      <c r="K174" s="6"/>
      <c r="L174" s="6"/>
      <c r="M174" s="6"/>
      <c r="N174" s="6"/>
      <c r="O174" s="6" t="s">
        <v>895</v>
      </c>
      <c r="P174" s="6" t="s">
        <v>728</v>
      </c>
      <c r="Q174" s="6"/>
      <c r="R174" s="6"/>
      <c r="S174" s="6"/>
      <c r="T174" s="6" t="s">
        <v>896</v>
      </c>
      <c r="U174" s="6" t="s">
        <v>35</v>
      </c>
      <c r="V174" s="6"/>
      <c r="W174" s="6"/>
      <c r="X174" s="6" t="s">
        <v>63</v>
      </c>
      <c r="Y174" s="6" t="s">
        <v>39</v>
      </c>
      <c r="Z174" s="6" t="s">
        <v>40</v>
      </c>
      <c r="AA174" s="6" t="s">
        <v>41</v>
      </c>
      <c r="AB174" s="7" t="s">
        <v>897</v>
      </c>
      <c r="AC174">
        <f>COUNTIF(Sheet1!$A$1:$A$50,Firms!A174)</f>
        <v>0</v>
      </c>
    </row>
    <row r="175" spans="1:30" ht="15" customHeight="1" x14ac:dyDescent="0.45">
      <c r="A175" s="6" t="s">
        <v>898</v>
      </c>
      <c r="B175" s="6" t="s">
        <v>29</v>
      </c>
      <c r="C175" s="6" t="s">
        <v>132</v>
      </c>
      <c r="D175" s="6" t="s">
        <v>388</v>
      </c>
      <c r="E175" s="6" t="s">
        <v>899</v>
      </c>
      <c r="F175" s="6" t="s">
        <v>81</v>
      </c>
      <c r="G175" s="6"/>
      <c r="H175" s="6"/>
      <c r="I175" s="6"/>
      <c r="J175" s="6"/>
      <c r="K175" s="6"/>
      <c r="L175" s="6"/>
      <c r="M175" s="6" t="s">
        <v>55</v>
      </c>
      <c r="N175" s="6" t="s">
        <v>572</v>
      </c>
      <c r="O175" s="6" t="s">
        <v>900</v>
      </c>
      <c r="P175" s="6" t="s">
        <v>901</v>
      </c>
      <c r="Q175" s="6"/>
      <c r="R175" s="6"/>
      <c r="S175" s="6"/>
      <c r="T175" s="6" t="s">
        <v>902</v>
      </c>
      <c r="U175" s="6" t="s">
        <v>35</v>
      </c>
      <c r="V175" s="6"/>
      <c r="W175" s="6" t="s">
        <v>903</v>
      </c>
      <c r="X175" s="6" t="s">
        <v>63</v>
      </c>
      <c r="Y175" s="6" t="s">
        <v>39</v>
      </c>
      <c r="Z175" s="6" t="s">
        <v>40</v>
      </c>
      <c r="AA175" s="6" t="s">
        <v>41</v>
      </c>
      <c r="AB175" s="7" t="s">
        <v>904</v>
      </c>
      <c r="AC175">
        <f>COUNTIF(Sheet1!$A$1:$A$50,Firms!A175)</f>
        <v>1</v>
      </c>
      <c r="AD175" t="str">
        <f>SUBSTITUTE(AB175,"Seeded from CapIQ export. Numeric fields are regex first-pass — c","C")</f>
        <v>Crawler will confirm. capiq_description preserved for AI extraction fallback. | [extractor] Explicit investment criteria stated on thesis page: typically invests $100-250MM equity per deal. Focus exclusively on energy economy (power generation, grid modernization, electrification, storage, AI infrastructure energy). Deal types include change of control buyouts, recapitalizations, generational transitions, growth and acquisition capital. Targets control or co-control transactions. Firm founded in 2021; has sub-advisory arrangement with Trilantic Capital Management L.P. Portfolio page references 'Fund III' and 'Legacy' funds. HQ in Austin, TX with additional office in New York, NY. No AUM or fund vintage year explicitly stated. Portfolio companies include AEGIS Hedging Solutions, CTC Global, ION Solar, Peak Utility Services, Saber Power Services, Unirac.</v>
      </c>
    </row>
    <row r="176" spans="1:30" ht="15" hidden="1" customHeight="1" x14ac:dyDescent="0.45">
      <c r="A176" s="4" t="s">
        <v>905</v>
      </c>
      <c r="B176" s="4" t="s">
        <v>44</v>
      </c>
      <c r="C176" s="4"/>
      <c r="D176" s="4"/>
      <c r="E176" s="4" t="s">
        <v>906</v>
      </c>
      <c r="F176" s="4"/>
      <c r="G176" s="4"/>
      <c r="H176" s="4"/>
      <c r="I176" s="4"/>
      <c r="J176" s="4"/>
      <c r="K176" s="4"/>
      <c r="L176" s="4"/>
      <c r="M176" s="4"/>
      <c r="N176" s="4"/>
      <c r="O176" s="4"/>
      <c r="P176" s="4" t="s">
        <v>907</v>
      </c>
      <c r="Q176" s="4"/>
      <c r="R176" s="4"/>
      <c r="S176" s="4"/>
      <c r="T176" s="4"/>
      <c r="U176" s="4" t="s">
        <v>35</v>
      </c>
      <c r="V176" s="4"/>
      <c r="W176" s="4"/>
      <c r="X176" s="4" t="s">
        <v>47</v>
      </c>
      <c r="Y176" s="4" t="s">
        <v>48</v>
      </c>
      <c r="Z176" s="4" t="s">
        <v>40</v>
      </c>
      <c r="AA176" s="4" t="s">
        <v>41</v>
      </c>
      <c r="AB176" s="5" t="s">
        <v>908</v>
      </c>
      <c r="AC176">
        <f>COUNTIF(Sheet1!$A$1:$A$50,Firms!A176)</f>
        <v>0</v>
      </c>
    </row>
    <row r="177" spans="1:30" ht="15" hidden="1" customHeight="1" x14ac:dyDescent="0.45">
      <c r="A177" s="4" t="s">
        <v>909</v>
      </c>
      <c r="B177" s="4" t="s">
        <v>29</v>
      </c>
      <c r="C177" s="4"/>
      <c r="D177" s="4"/>
      <c r="E177" s="4" t="s">
        <v>910</v>
      </c>
      <c r="F177" s="4"/>
      <c r="G177" s="4"/>
      <c r="H177" s="4"/>
      <c r="I177" s="4"/>
      <c r="J177" s="4"/>
      <c r="K177" s="4"/>
      <c r="L177" s="4"/>
      <c r="M177" s="4"/>
      <c r="N177" s="4"/>
      <c r="O177" s="4"/>
      <c r="P177" s="4" t="s">
        <v>911</v>
      </c>
      <c r="Q177" s="4"/>
      <c r="R177" s="4"/>
      <c r="S177" s="4"/>
      <c r="T177" s="4" t="s">
        <v>912</v>
      </c>
      <c r="U177" s="4" t="s">
        <v>35</v>
      </c>
      <c r="V177" s="4"/>
      <c r="W177" s="4"/>
      <c r="X177" s="4" t="s">
        <v>47</v>
      </c>
      <c r="Y177" s="4" t="s">
        <v>48</v>
      </c>
      <c r="Z177" s="4" t="s">
        <v>40</v>
      </c>
      <c r="AA177" s="4" t="s">
        <v>41</v>
      </c>
      <c r="AB177" s="5" t="s">
        <v>913</v>
      </c>
      <c r="AC177">
        <f>COUNTIF(Sheet1!$A$1:$A$50,Firms!A177)</f>
        <v>0</v>
      </c>
    </row>
    <row r="178" spans="1:30" ht="15" hidden="1" customHeight="1" x14ac:dyDescent="0.45">
      <c r="A178" s="6" t="s">
        <v>914</v>
      </c>
      <c r="B178" s="6" t="s">
        <v>29</v>
      </c>
      <c r="C178" s="6"/>
      <c r="D178" s="6"/>
      <c r="E178" s="6" t="s">
        <v>915</v>
      </c>
      <c r="F178" s="6" t="s">
        <v>81</v>
      </c>
      <c r="G178" s="6" t="s">
        <v>69</v>
      </c>
      <c r="H178" s="6" t="s">
        <v>70</v>
      </c>
      <c r="I178" s="6"/>
      <c r="J178" s="6" t="s">
        <v>69</v>
      </c>
      <c r="K178" s="6"/>
      <c r="L178" s="6"/>
      <c r="M178" s="6"/>
      <c r="N178" s="6"/>
      <c r="O178" s="6" t="s">
        <v>916</v>
      </c>
      <c r="P178" s="6" t="s">
        <v>595</v>
      </c>
      <c r="Q178" s="6"/>
      <c r="R178" s="6"/>
      <c r="S178" s="6"/>
      <c r="T178" s="6"/>
      <c r="U178" s="6" t="s">
        <v>35</v>
      </c>
      <c r="V178" s="6" t="s">
        <v>247</v>
      </c>
      <c r="W178" s="6"/>
      <c r="X178" s="6" t="s">
        <v>63</v>
      </c>
      <c r="Y178" s="6" t="s">
        <v>39</v>
      </c>
      <c r="Z178" s="6" t="s">
        <v>40</v>
      </c>
      <c r="AA178" s="6" t="s">
        <v>41</v>
      </c>
      <c r="AB178" s="7" t="s">
        <v>917</v>
      </c>
      <c r="AC178">
        <f>COUNTIF(Sheet1!$A$1:$A$50,Firms!A178)</f>
        <v>0</v>
      </c>
    </row>
    <row r="179" spans="1:30" ht="15" hidden="1" customHeight="1" x14ac:dyDescent="0.45">
      <c r="A179" s="4" t="s">
        <v>918</v>
      </c>
      <c r="B179" s="4" t="s">
        <v>44</v>
      </c>
      <c r="C179" s="4"/>
      <c r="D179" s="4"/>
      <c r="E179" s="4" t="s">
        <v>919</v>
      </c>
      <c r="F179" s="4"/>
      <c r="G179" s="4"/>
      <c r="H179" s="4"/>
      <c r="I179" s="4"/>
      <c r="J179" s="4"/>
      <c r="K179" s="4"/>
      <c r="L179" s="4"/>
      <c r="M179" s="4"/>
      <c r="N179" s="4"/>
      <c r="O179" s="4"/>
      <c r="P179" s="4" t="s">
        <v>479</v>
      </c>
      <c r="Q179" s="4"/>
      <c r="R179" s="4"/>
      <c r="S179" s="4"/>
      <c r="T179" s="4" t="s">
        <v>920</v>
      </c>
      <c r="U179" s="4" t="s">
        <v>35</v>
      </c>
      <c r="V179" s="4"/>
      <c r="W179" s="4"/>
      <c r="X179" s="4" t="s">
        <v>47</v>
      </c>
      <c r="Y179" s="4" t="s">
        <v>48</v>
      </c>
      <c r="Z179" s="4" t="s">
        <v>40</v>
      </c>
      <c r="AA179" s="4" t="s">
        <v>41</v>
      </c>
      <c r="AB179" s="5" t="s">
        <v>921</v>
      </c>
      <c r="AC179">
        <f>COUNTIF(Sheet1!$A$1:$A$50,Firms!A179)</f>
        <v>0</v>
      </c>
    </row>
    <row r="180" spans="1:30" ht="15" hidden="1" customHeight="1" x14ac:dyDescent="0.45">
      <c r="A180" s="2" t="s">
        <v>922</v>
      </c>
      <c r="B180" s="2" t="s">
        <v>29</v>
      </c>
      <c r="C180" s="2" t="s">
        <v>78</v>
      </c>
      <c r="D180" s="2" t="s">
        <v>923</v>
      </c>
      <c r="E180" s="2" t="s">
        <v>924</v>
      </c>
      <c r="F180" s="2" t="s">
        <v>81</v>
      </c>
      <c r="G180" s="2"/>
      <c r="H180" s="2"/>
      <c r="I180" s="2"/>
      <c r="J180" s="2"/>
      <c r="K180" s="2"/>
      <c r="L180" s="2"/>
      <c r="M180" s="2"/>
      <c r="N180" s="2"/>
      <c r="O180" s="2" t="s">
        <v>32</v>
      </c>
      <c r="P180" s="2" t="s">
        <v>419</v>
      </c>
      <c r="Q180" s="2"/>
      <c r="R180" s="2"/>
      <c r="S180" s="2"/>
      <c r="T180" s="2"/>
      <c r="U180" s="2" t="s">
        <v>35</v>
      </c>
      <c r="V180" s="2"/>
      <c r="W180" s="2"/>
      <c r="X180" s="2" t="s">
        <v>38</v>
      </c>
      <c r="Y180" s="2" t="s">
        <v>39</v>
      </c>
      <c r="Z180" s="2" t="s">
        <v>40</v>
      </c>
      <c r="AA180" s="2" t="s">
        <v>41</v>
      </c>
      <c r="AB180" s="3" t="s">
        <v>925</v>
      </c>
      <c r="AC180">
        <f>COUNTIF(Sheet1!$A$1:$A$50,Firms!A180)</f>
        <v>0</v>
      </c>
    </row>
    <row r="181" spans="1:30" ht="15" hidden="1" customHeight="1" x14ac:dyDescent="0.45">
      <c r="A181" s="4" t="s">
        <v>926</v>
      </c>
      <c r="B181" s="4" t="s">
        <v>44</v>
      </c>
      <c r="C181" s="4"/>
      <c r="D181" s="4"/>
      <c r="E181" s="4" t="s">
        <v>927</v>
      </c>
      <c r="F181" s="4"/>
      <c r="G181" s="4"/>
      <c r="H181" s="4"/>
      <c r="I181" s="4"/>
      <c r="J181" s="4"/>
      <c r="K181" s="4"/>
      <c r="L181" s="4"/>
      <c r="M181" s="4"/>
      <c r="N181" s="4"/>
      <c r="O181" s="4"/>
      <c r="P181" s="4" t="s">
        <v>479</v>
      </c>
      <c r="Q181" s="4"/>
      <c r="R181" s="4"/>
      <c r="S181" s="4"/>
      <c r="T181" s="4" t="s">
        <v>928</v>
      </c>
      <c r="U181" s="4" t="s">
        <v>35</v>
      </c>
      <c r="V181" s="4"/>
      <c r="W181" s="4"/>
      <c r="X181" s="4" t="s">
        <v>47</v>
      </c>
      <c r="Y181" s="4" t="s">
        <v>48</v>
      </c>
      <c r="Z181" s="4" t="s">
        <v>40</v>
      </c>
      <c r="AA181" s="4" t="s">
        <v>41</v>
      </c>
      <c r="AB181" s="5" t="s">
        <v>929</v>
      </c>
      <c r="AC181">
        <f>COUNTIF(Sheet1!$A$1:$A$50,Firms!A181)</f>
        <v>0</v>
      </c>
    </row>
    <row r="182" spans="1:30" ht="15" hidden="1" customHeight="1" x14ac:dyDescent="0.45">
      <c r="A182" s="2" t="s">
        <v>930</v>
      </c>
      <c r="B182" s="2" t="s">
        <v>29</v>
      </c>
      <c r="C182" s="2"/>
      <c r="D182" s="2"/>
      <c r="E182" s="2" t="s">
        <v>931</v>
      </c>
      <c r="F182" s="2"/>
      <c r="G182" s="2"/>
      <c r="H182" s="2"/>
      <c r="I182" s="2"/>
      <c r="J182" s="2"/>
      <c r="K182" s="2"/>
      <c r="L182" s="2"/>
      <c r="M182" s="2"/>
      <c r="N182" s="2"/>
      <c r="O182" s="2" t="s">
        <v>32</v>
      </c>
      <c r="P182" s="2" t="s">
        <v>841</v>
      </c>
      <c r="Q182" s="2" t="s">
        <v>932</v>
      </c>
      <c r="R182" s="2"/>
      <c r="S182" s="2"/>
      <c r="T182" s="2"/>
      <c r="U182" s="2" t="s">
        <v>35</v>
      </c>
      <c r="V182" s="2"/>
      <c r="W182" s="2"/>
      <c r="X182" s="2" t="s">
        <v>38</v>
      </c>
      <c r="Y182" s="2" t="s">
        <v>39</v>
      </c>
      <c r="Z182" s="2" t="s">
        <v>40</v>
      </c>
      <c r="AA182" s="2" t="s">
        <v>41</v>
      </c>
      <c r="AB182" s="3" t="s">
        <v>933</v>
      </c>
      <c r="AC182">
        <f>COUNTIF(Sheet1!$A$1:$A$50,Firms!A182)</f>
        <v>0</v>
      </c>
    </row>
    <row r="183" spans="1:30" ht="15" hidden="1" customHeight="1" x14ac:dyDescent="0.45">
      <c r="A183" s="4" t="s">
        <v>934</v>
      </c>
      <c r="B183" s="4" t="s">
        <v>44</v>
      </c>
      <c r="C183" s="4"/>
      <c r="D183" s="4" t="s">
        <v>935</v>
      </c>
      <c r="E183" s="4" t="s">
        <v>936</v>
      </c>
      <c r="F183" s="4"/>
      <c r="G183" s="4"/>
      <c r="H183" s="4"/>
      <c r="I183" s="4"/>
      <c r="J183" s="4"/>
      <c r="K183" s="4"/>
      <c r="L183" s="4"/>
      <c r="M183" s="4"/>
      <c r="N183" s="4"/>
      <c r="O183" s="4"/>
      <c r="P183" s="4" t="s">
        <v>279</v>
      </c>
      <c r="Q183" s="4"/>
      <c r="R183" s="4"/>
      <c r="S183" s="4"/>
      <c r="T183" s="4"/>
      <c r="U183" s="4"/>
      <c r="V183" s="4"/>
      <c r="W183" s="4"/>
      <c r="X183" s="4" t="s">
        <v>38</v>
      </c>
      <c r="Y183" s="4" t="s">
        <v>48</v>
      </c>
      <c r="Z183" s="4" t="s">
        <v>40</v>
      </c>
      <c r="AA183" s="4" t="s">
        <v>41</v>
      </c>
      <c r="AB183" s="5" t="s">
        <v>937</v>
      </c>
      <c r="AC183">
        <f>COUNTIF(Sheet1!$A$1:$A$50,Firms!A183)</f>
        <v>0</v>
      </c>
    </row>
    <row r="184" spans="1:30" ht="15" hidden="1" customHeight="1" x14ac:dyDescent="0.45">
      <c r="A184" s="6" t="s">
        <v>938</v>
      </c>
      <c r="B184" s="6" t="s">
        <v>29</v>
      </c>
      <c r="C184" s="6"/>
      <c r="D184" s="6"/>
      <c r="E184" s="6" t="s">
        <v>939</v>
      </c>
      <c r="F184" s="6" t="s">
        <v>31</v>
      </c>
      <c r="G184" s="6"/>
      <c r="H184" s="6"/>
      <c r="I184" s="6"/>
      <c r="J184" s="6" t="s">
        <v>940</v>
      </c>
      <c r="K184" s="6"/>
      <c r="L184" s="6"/>
      <c r="M184" s="6" t="s">
        <v>70</v>
      </c>
      <c r="N184" s="6" t="s">
        <v>456</v>
      </c>
      <c r="O184" s="6" t="s">
        <v>72</v>
      </c>
      <c r="P184" s="6" t="s">
        <v>470</v>
      </c>
      <c r="Q184" s="6" t="s">
        <v>941</v>
      </c>
      <c r="R184" s="6"/>
      <c r="S184" s="6"/>
      <c r="T184" s="6" t="s">
        <v>942</v>
      </c>
      <c r="U184" s="6" t="s">
        <v>35</v>
      </c>
      <c r="V184" s="6"/>
      <c r="W184" s="6"/>
      <c r="X184" s="6" t="s">
        <v>63</v>
      </c>
      <c r="Y184" s="6" t="s">
        <v>39</v>
      </c>
      <c r="Z184" s="6" t="s">
        <v>40</v>
      </c>
      <c r="AA184" s="6" t="s">
        <v>41</v>
      </c>
      <c r="AB184" s="7" t="s">
        <v>943</v>
      </c>
      <c r="AC184">
        <f>COUNTIF(Sheet1!$A$1:$A$50,Firms!A184)</f>
        <v>0</v>
      </c>
    </row>
    <row r="185" spans="1:30" ht="15" customHeight="1" x14ac:dyDescent="0.45">
      <c r="A185" s="6" t="s">
        <v>944</v>
      </c>
      <c r="B185" s="6" t="s">
        <v>29</v>
      </c>
      <c r="C185" s="6"/>
      <c r="D185" s="6"/>
      <c r="E185" s="6" t="s">
        <v>945</v>
      </c>
      <c r="F185" s="6" t="s">
        <v>31</v>
      </c>
      <c r="G185" s="6" t="s">
        <v>58</v>
      </c>
      <c r="H185" s="6" t="s">
        <v>59</v>
      </c>
      <c r="I185" s="6" t="s">
        <v>69</v>
      </c>
      <c r="J185" s="6" t="s">
        <v>110</v>
      </c>
      <c r="K185" s="6"/>
      <c r="L185" s="6"/>
      <c r="M185" s="6" t="s">
        <v>58</v>
      </c>
      <c r="N185" s="6" t="s">
        <v>55</v>
      </c>
      <c r="O185" s="6" t="s">
        <v>72</v>
      </c>
      <c r="P185" s="6" t="s">
        <v>253</v>
      </c>
      <c r="Q185" s="6"/>
      <c r="R185" s="6"/>
      <c r="S185" s="6"/>
      <c r="T185" s="6" t="s">
        <v>946</v>
      </c>
      <c r="U185" s="6" t="s">
        <v>35</v>
      </c>
      <c r="V185" s="6" t="s">
        <v>947</v>
      </c>
      <c r="W185" s="6"/>
      <c r="X185" s="6" t="s">
        <v>63</v>
      </c>
      <c r="Y185" s="6" t="s">
        <v>39</v>
      </c>
      <c r="Z185" s="6" t="s">
        <v>40</v>
      </c>
      <c r="AA185" s="6" t="s">
        <v>41</v>
      </c>
      <c r="AB185" s="7" t="s">
        <v>948</v>
      </c>
      <c r="AC185">
        <f>COUNTIF(Sheet1!$A$1:$A$50,Firms!A185)</f>
        <v>1</v>
      </c>
      <c r="AD185" t="str">
        <f>SUBSTITUTE(AB185,"Seeded from CapIQ export. Numeric fields are regex first-pass — c","C")</f>
        <v>Crawler will confirm. capiq_description preserved for AI extraction fallback. | [extractor] Guardian Capital Partners is a PE firm with explicit investment criteria on website. GPS Program focuses on Industrial Technology, Digital Infrastructure, Non-Discretionary Services, Food &amp; Beverage, and Water/Wastewater Infrastructure. Control buyouts, recaps, and add-ons. Target revenue $25-200M, EBITDA $5-30M, equity check $25-100M. US and Canada focus. Recent deals: Raptor Power Systems (Oct 2025, Fund IV), Nügredient Solutions (March 2026, Fund IV). Two one-pager PDFs available but not parsed per rules.</v>
      </c>
    </row>
    <row r="186" spans="1:30" ht="15" hidden="1" customHeight="1" x14ac:dyDescent="0.45">
      <c r="A186" s="6" t="s">
        <v>949</v>
      </c>
      <c r="B186" s="6" t="s">
        <v>29</v>
      </c>
      <c r="C186" s="6" t="s">
        <v>132</v>
      </c>
      <c r="D186" s="6" t="s">
        <v>133</v>
      </c>
      <c r="E186" s="6" t="s">
        <v>950</v>
      </c>
      <c r="F186" s="6" t="s">
        <v>81</v>
      </c>
      <c r="G186" s="6"/>
      <c r="H186" s="6"/>
      <c r="I186" s="6" t="s">
        <v>125</v>
      </c>
      <c r="J186" s="6" t="s">
        <v>137</v>
      </c>
      <c r="K186" s="6"/>
      <c r="L186" s="6"/>
      <c r="M186" s="6"/>
      <c r="N186" s="6"/>
      <c r="O186" s="6" t="s">
        <v>32</v>
      </c>
      <c r="P186" s="6" t="s">
        <v>253</v>
      </c>
      <c r="Q186" s="6"/>
      <c r="R186" s="6"/>
      <c r="S186" s="6"/>
      <c r="T186" s="6"/>
      <c r="U186" s="6" t="s">
        <v>35</v>
      </c>
      <c r="V186" s="6"/>
      <c r="W186" s="6"/>
      <c r="X186" s="6" t="s">
        <v>63</v>
      </c>
      <c r="Y186" s="6" t="s">
        <v>39</v>
      </c>
      <c r="Z186" s="6" t="s">
        <v>40</v>
      </c>
      <c r="AA186" s="6" t="s">
        <v>41</v>
      </c>
      <c r="AB186" s="7" t="s">
        <v>951</v>
      </c>
      <c r="AC186">
        <f>COUNTIF(Sheet1!$A$1:$A$50,Firms!A186)</f>
        <v>0</v>
      </c>
    </row>
    <row r="187" spans="1:30" ht="15" hidden="1" customHeight="1" x14ac:dyDescent="0.45">
      <c r="A187" s="4" t="s">
        <v>952</v>
      </c>
      <c r="B187" s="4" t="s">
        <v>29</v>
      </c>
      <c r="C187" s="4"/>
      <c r="D187" s="4"/>
      <c r="E187" s="4" t="s">
        <v>953</v>
      </c>
      <c r="F187" s="4"/>
      <c r="G187" s="4"/>
      <c r="H187" s="4"/>
      <c r="I187" s="4"/>
      <c r="J187" s="4"/>
      <c r="K187" s="4"/>
      <c r="L187" s="4"/>
      <c r="M187" s="4"/>
      <c r="N187" s="4"/>
      <c r="O187" s="4"/>
      <c r="P187" s="4" t="s">
        <v>309</v>
      </c>
      <c r="Q187" s="4"/>
      <c r="R187" s="4"/>
      <c r="S187" s="4"/>
      <c r="T187" s="4"/>
      <c r="U187" s="4" t="s">
        <v>35</v>
      </c>
      <c r="V187" s="4"/>
      <c r="W187" s="4"/>
      <c r="X187" s="4" t="s">
        <v>47</v>
      </c>
      <c r="Y187" s="4" t="s">
        <v>48</v>
      </c>
      <c r="Z187" s="4" t="s">
        <v>40</v>
      </c>
      <c r="AA187" s="4" t="s">
        <v>41</v>
      </c>
      <c r="AB187" s="5" t="s">
        <v>954</v>
      </c>
      <c r="AC187">
        <f>COUNTIF(Sheet1!$A$1:$A$50,Firms!A187)</f>
        <v>0</v>
      </c>
    </row>
    <row r="188" spans="1:30" ht="15" hidden="1" customHeight="1" x14ac:dyDescent="0.45">
      <c r="A188" s="4" t="s">
        <v>955</v>
      </c>
      <c r="B188" s="4" t="s">
        <v>29</v>
      </c>
      <c r="C188" s="4"/>
      <c r="D188" s="4"/>
      <c r="E188" s="4" t="s">
        <v>956</v>
      </c>
      <c r="F188" s="4" t="s">
        <v>31</v>
      </c>
      <c r="G188" s="4"/>
      <c r="H188" s="4"/>
      <c r="I188" s="4"/>
      <c r="J188" s="4"/>
      <c r="K188" s="4"/>
      <c r="L188" s="4"/>
      <c r="M188" s="4"/>
      <c r="N188" s="4"/>
      <c r="O188" s="4"/>
      <c r="P188" s="4"/>
      <c r="Q188" s="4"/>
      <c r="R188" s="4"/>
      <c r="S188" s="4"/>
      <c r="T188" s="4"/>
      <c r="U188" s="4"/>
      <c r="V188" s="4"/>
      <c r="W188" s="4"/>
      <c r="X188" s="4" t="s">
        <v>47</v>
      </c>
      <c r="Y188" s="4" t="s">
        <v>48</v>
      </c>
      <c r="Z188" s="4" t="s">
        <v>414</v>
      </c>
      <c r="AA188" s="4" t="s">
        <v>41</v>
      </c>
      <c r="AB188" s="5" t="s">
        <v>518</v>
      </c>
      <c r="AC188">
        <f>COUNTIF(Sheet1!$A$1:$A$50,Firms!A188)</f>
        <v>0</v>
      </c>
    </row>
    <row r="189" spans="1:30" ht="15" hidden="1" customHeight="1" x14ac:dyDescent="0.45">
      <c r="A189" s="4" t="s">
        <v>957</v>
      </c>
      <c r="B189" s="4" t="s">
        <v>29</v>
      </c>
      <c r="C189" s="4" t="s">
        <v>958</v>
      </c>
      <c r="D189" s="4" t="s">
        <v>959</v>
      </c>
      <c r="E189" s="4" t="s">
        <v>960</v>
      </c>
      <c r="F189" s="4" t="s">
        <v>81</v>
      </c>
      <c r="G189" s="4"/>
      <c r="H189" s="4"/>
      <c r="I189" s="4"/>
      <c r="J189" s="4"/>
      <c r="K189" s="4"/>
      <c r="L189" s="4"/>
      <c r="M189" s="4"/>
      <c r="N189" s="4"/>
      <c r="O189" s="4"/>
      <c r="P189" s="4"/>
      <c r="Q189" s="4"/>
      <c r="R189" s="4"/>
      <c r="S189" s="4"/>
      <c r="T189" s="4"/>
      <c r="U189" s="4" t="s">
        <v>35</v>
      </c>
      <c r="V189" s="4"/>
      <c r="W189" s="4"/>
      <c r="X189" s="4" t="s">
        <v>47</v>
      </c>
      <c r="Y189" s="4" t="s">
        <v>48</v>
      </c>
      <c r="Z189" s="4" t="s">
        <v>40</v>
      </c>
      <c r="AA189" s="4" t="s">
        <v>41</v>
      </c>
      <c r="AB189" s="5" t="s">
        <v>961</v>
      </c>
      <c r="AC189">
        <f>COUNTIF(Sheet1!$A$1:$A$50,Firms!A189)</f>
        <v>0</v>
      </c>
    </row>
    <row r="190" spans="1:30" ht="15" customHeight="1" x14ac:dyDescent="0.45">
      <c r="A190" s="6" t="s">
        <v>962</v>
      </c>
      <c r="B190" s="6" t="s">
        <v>29</v>
      </c>
      <c r="C190" s="6"/>
      <c r="D190" s="6"/>
      <c r="E190" s="6" t="s">
        <v>963</v>
      </c>
      <c r="F190" s="6" t="s">
        <v>31</v>
      </c>
      <c r="G190" s="6" t="s">
        <v>54</v>
      </c>
      <c r="H190" s="6" t="s">
        <v>59</v>
      </c>
      <c r="I190" s="6" t="s">
        <v>135</v>
      </c>
      <c r="J190" s="6" t="s">
        <v>54</v>
      </c>
      <c r="K190" s="6"/>
      <c r="L190" s="6"/>
      <c r="M190" s="6" t="s">
        <v>69</v>
      </c>
      <c r="N190" s="6" t="s">
        <v>70</v>
      </c>
      <c r="O190" s="6" t="s">
        <v>60</v>
      </c>
      <c r="P190" s="6" t="s">
        <v>111</v>
      </c>
      <c r="Q190" s="6"/>
      <c r="R190" s="6"/>
      <c r="S190" s="6"/>
      <c r="T190" s="6" t="s">
        <v>572</v>
      </c>
      <c r="U190" s="6" t="s">
        <v>35</v>
      </c>
      <c r="V190" s="6"/>
      <c r="W190" s="6"/>
      <c r="X190" s="6" t="s">
        <v>63</v>
      </c>
      <c r="Y190" s="6" t="s">
        <v>39</v>
      </c>
      <c r="Z190" s="6" t="s">
        <v>40</v>
      </c>
      <c r="AA190" s="6" t="s">
        <v>41</v>
      </c>
      <c r="AB190" s="7" t="s">
        <v>964</v>
      </c>
      <c r="AC190">
        <f>COUNTIF(Sheet1!$A$1:$A$50,Firms!A190)</f>
        <v>1</v>
      </c>
      <c r="AD190" t="str">
        <f>SUBSTITUTE(AB190,"Seeded from CapIQ export. Numeric fields are regex first-pass — c","C")</f>
        <v>Crawler will confirm. capiq_description preserved for AI extraction fallback. | [extractor] Clear investment criteria found on website. Geography includes US and Canada. Deal types include ownership transition of family businesses, management buyouts, majority recaps/full sales, corporate divestitures, ESOP replacement, growth capital, and joint ventures. Focus on modern industrial markets with trends in productivity tech, automation, IIOT, and advanced manufacturing. Criteria PDF available: https://hrco.com/assets/uploads/2026/05/HRCP-Investment-Criteria-2026.pdf — not parsed. HQ city/state not confirmed from available pages.</v>
      </c>
    </row>
    <row r="191" spans="1:30" ht="15" hidden="1" customHeight="1" x14ac:dyDescent="0.45">
      <c r="A191" s="6" t="s">
        <v>965</v>
      </c>
      <c r="B191" s="6" t="s">
        <v>29</v>
      </c>
      <c r="C191" s="6"/>
      <c r="D191" s="6"/>
      <c r="E191" s="6" t="s">
        <v>966</v>
      </c>
      <c r="F191" s="6" t="s">
        <v>31</v>
      </c>
      <c r="G191" s="6"/>
      <c r="H191" s="6"/>
      <c r="I191" s="6" t="s">
        <v>135</v>
      </c>
      <c r="J191" s="6" t="s">
        <v>110</v>
      </c>
      <c r="K191" s="6"/>
      <c r="L191" s="6"/>
      <c r="M191" s="6"/>
      <c r="N191" s="6"/>
      <c r="O191" s="6" t="s">
        <v>72</v>
      </c>
      <c r="P191" s="6" t="s">
        <v>111</v>
      </c>
      <c r="Q191" s="6"/>
      <c r="R191" s="6"/>
      <c r="S191" s="6"/>
      <c r="T191" s="6"/>
      <c r="U191" s="6" t="s">
        <v>35</v>
      </c>
      <c r="V191" s="6"/>
      <c r="W191" s="6"/>
      <c r="X191" s="6" t="s">
        <v>63</v>
      </c>
      <c r="Y191" s="6" t="s">
        <v>39</v>
      </c>
      <c r="Z191" s="6" t="s">
        <v>40</v>
      </c>
      <c r="AA191" s="6" t="s">
        <v>41</v>
      </c>
      <c r="AB191" s="7" t="s">
        <v>967</v>
      </c>
      <c r="AC191">
        <f>COUNTIF(Sheet1!$A$1:$A$50,Firms!A191)</f>
        <v>0</v>
      </c>
    </row>
    <row r="192" spans="1:30" ht="15" hidden="1" customHeight="1" x14ac:dyDescent="0.45">
      <c r="A192" s="4" t="s">
        <v>968</v>
      </c>
      <c r="B192" s="4" t="s">
        <v>44</v>
      </c>
      <c r="C192" s="4"/>
      <c r="D192" s="4"/>
      <c r="E192" s="4" t="s">
        <v>969</v>
      </c>
      <c r="F192" s="4"/>
      <c r="G192" s="4"/>
      <c r="H192" s="4"/>
      <c r="I192" s="4"/>
      <c r="J192" s="4"/>
      <c r="K192" s="4"/>
      <c r="L192" s="4"/>
      <c r="M192" s="4"/>
      <c r="N192" s="4"/>
      <c r="O192" s="4"/>
      <c r="P192" s="4" t="s">
        <v>911</v>
      </c>
      <c r="Q192" s="4"/>
      <c r="R192" s="4"/>
      <c r="S192" s="4"/>
      <c r="T192" s="4" t="s">
        <v>970</v>
      </c>
      <c r="U192" s="4" t="s">
        <v>35</v>
      </c>
      <c r="V192" s="4"/>
      <c r="W192" s="4"/>
      <c r="X192" s="4" t="s">
        <v>47</v>
      </c>
      <c r="Y192" s="4" t="s">
        <v>48</v>
      </c>
      <c r="Z192" s="4" t="s">
        <v>40</v>
      </c>
      <c r="AA192" s="4" t="s">
        <v>41</v>
      </c>
      <c r="AB192" s="5" t="s">
        <v>971</v>
      </c>
      <c r="AC192">
        <f>COUNTIF(Sheet1!$A$1:$A$50,Firms!A192)</f>
        <v>0</v>
      </c>
    </row>
    <row r="193" spans="1:30" ht="15" hidden="1" customHeight="1" x14ac:dyDescent="0.45">
      <c r="A193" s="2" t="s">
        <v>972</v>
      </c>
      <c r="B193" s="2" t="s">
        <v>29</v>
      </c>
      <c r="C193" s="2" t="s">
        <v>162</v>
      </c>
      <c r="D193" s="2" t="s">
        <v>388</v>
      </c>
      <c r="E193" s="2" t="s">
        <v>973</v>
      </c>
      <c r="F193" s="2" t="s">
        <v>31</v>
      </c>
      <c r="G193" s="2"/>
      <c r="H193" s="2"/>
      <c r="I193" s="2"/>
      <c r="J193" s="2"/>
      <c r="K193" s="2"/>
      <c r="L193" s="2"/>
      <c r="M193" s="2"/>
      <c r="N193" s="2"/>
      <c r="O193" s="2" t="s">
        <v>82</v>
      </c>
      <c r="P193" s="2" t="s">
        <v>974</v>
      </c>
      <c r="Q193" s="2"/>
      <c r="R193" s="2"/>
      <c r="S193" s="2"/>
      <c r="T193" s="2"/>
      <c r="U193" s="2" t="s">
        <v>35</v>
      </c>
      <c r="V193" s="2"/>
      <c r="W193" s="2"/>
      <c r="X193" s="2" t="s">
        <v>38</v>
      </c>
      <c r="Y193" s="2" t="s">
        <v>39</v>
      </c>
      <c r="Z193" s="2" t="s">
        <v>40</v>
      </c>
      <c r="AA193" s="2" t="s">
        <v>41</v>
      </c>
      <c r="AB193" s="3" t="s">
        <v>975</v>
      </c>
      <c r="AC193">
        <f>COUNTIF(Sheet1!$A$1:$A$50,Firms!A193)</f>
        <v>0</v>
      </c>
    </row>
    <row r="194" spans="1:30" ht="15" hidden="1" customHeight="1" x14ac:dyDescent="0.45">
      <c r="A194" s="2" t="s">
        <v>976</v>
      </c>
      <c r="B194" s="2" t="s">
        <v>29</v>
      </c>
      <c r="C194" s="2" t="s">
        <v>101</v>
      </c>
      <c r="D194" s="2" t="s">
        <v>959</v>
      </c>
      <c r="E194" s="2" t="s">
        <v>977</v>
      </c>
      <c r="F194" s="2" t="s">
        <v>81</v>
      </c>
      <c r="G194" s="2"/>
      <c r="H194" s="2"/>
      <c r="I194" s="2"/>
      <c r="J194" s="2"/>
      <c r="K194" s="2"/>
      <c r="L194" s="2"/>
      <c r="M194" s="2"/>
      <c r="N194" s="2"/>
      <c r="O194" s="2" t="s">
        <v>32</v>
      </c>
      <c r="P194" s="2" t="s">
        <v>158</v>
      </c>
      <c r="Q194" s="2"/>
      <c r="R194" s="2"/>
      <c r="S194" s="2"/>
      <c r="T194" s="2" t="s">
        <v>323</v>
      </c>
      <c r="U194" s="2" t="s">
        <v>35</v>
      </c>
      <c r="V194" s="2" t="s">
        <v>978</v>
      </c>
      <c r="W194" s="2"/>
      <c r="X194" s="2" t="s">
        <v>38</v>
      </c>
      <c r="Y194" s="2" t="s">
        <v>39</v>
      </c>
      <c r="Z194" s="2" t="s">
        <v>40</v>
      </c>
      <c r="AA194" s="2" t="s">
        <v>41</v>
      </c>
      <c r="AB194" s="3" t="s">
        <v>979</v>
      </c>
      <c r="AC194">
        <f>COUNTIF(Sheet1!$A$1:$A$50,Firms!A194)</f>
        <v>0</v>
      </c>
    </row>
    <row r="195" spans="1:30" ht="15" hidden="1" customHeight="1" x14ac:dyDescent="0.45">
      <c r="A195" s="6" t="s">
        <v>980</v>
      </c>
      <c r="B195" s="6" t="s">
        <v>44</v>
      </c>
      <c r="C195" s="6" t="s">
        <v>981</v>
      </c>
      <c r="D195" s="6" t="s">
        <v>982</v>
      </c>
      <c r="E195" s="6" t="s">
        <v>983</v>
      </c>
      <c r="F195" s="6" t="s">
        <v>31</v>
      </c>
      <c r="G195" s="6" t="s">
        <v>192</v>
      </c>
      <c r="H195" s="6"/>
      <c r="I195" s="6" t="s">
        <v>125</v>
      </c>
      <c r="J195" s="6" t="s">
        <v>192</v>
      </c>
      <c r="K195" s="6"/>
      <c r="L195" s="6" t="s">
        <v>55</v>
      </c>
      <c r="M195" s="6" t="s">
        <v>984</v>
      </c>
      <c r="N195" s="6" t="s">
        <v>135</v>
      </c>
      <c r="O195" s="6" t="s">
        <v>985</v>
      </c>
      <c r="P195" s="6" t="s">
        <v>986</v>
      </c>
      <c r="Q195" s="6"/>
      <c r="R195" s="6"/>
      <c r="S195" s="6"/>
      <c r="T195" s="6"/>
      <c r="U195" s="6" t="s">
        <v>35</v>
      </c>
      <c r="V195" s="6"/>
      <c r="W195" s="6"/>
      <c r="X195" s="6" t="s">
        <v>63</v>
      </c>
      <c r="Y195" s="6" t="s">
        <v>39</v>
      </c>
      <c r="Z195" s="6" t="s">
        <v>40</v>
      </c>
      <c r="AA195" s="6" t="s">
        <v>41</v>
      </c>
      <c r="AB195" s="7" t="s">
        <v>987</v>
      </c>
      <c r="AC195">
        <f>COUNTIF(Sheet1!$A$1:$A$50,Firms!A195)</f>
        <v>0</v>
      </c>
    </row>
    <row r="196" spans="1:30" ht="15" hidden="1" customHeight="1" x14ac:dyDescent="0.45">
      <c r="A196" s="2" t="s">
        <v>988</v>
      </c>
      <c r="B196" s="2" t="s">
        <v>44</v>
      </c>
      <c r="C196" s="2"/>
      <c r="D196" s="2"/>
      <c r="E196" s="2" t="s">
        <v>989</v>
      </c>
      <c r="F196" s="2"/>
      <c r="G196" s="2"/>
      <c r="H196" s="2"/>
      <c r="I196" s="2"/>
      <c r="J196" s="2"/>
      <c r="K196" s="2"/>
      <c r="L196" s="2"/>
      <c r="M196" s="2"/>
      <c r="N196" s="2"/>
      <c r="O196" s="2" t="s">
        <v>32</v>
      </c>
      <c r="P196" s="2" t="s">
        <v>105</v>
      </c>
      <c r="Q196" s="2"/>
      <c r="R196" s="2"/>
      <c r="S196" s="2"/>
      <c r="T196" s="2"/>
      <c r="U196" s="2" t="s">
        <v>35</v>
      </c>
      <c r="V196" s="2"/>
      <c r="W196" s="2"/>
      <c r="X196" s="2" t="s">
        <v>38</v>
      </c>
      <c r="Y196" s="2" t="s">
        <v>39</v>
      </c>
      <c r="Z196" s="2" t="s">
        <v>40</v>
      </c>
      <c r="AA196" s="2" t="s">
        <v>41</v>
      </c>
      <c r="AB196" s="3" t="s">
        <v>990</v>
      </c>
      <c r="AC196">
        <f>COUNTIF(Sheet1!$A$1:$A$50,Firms!A196)</f>
        <v>0</v>
      </c>
    </row>
    <row r="197" spans="1:30" ht="15" hidden="1" customHeight="1" x14ac:dyDescent="0.45">
      <c r="A197" s="2" t="s">
        <v>991</v>
      </c>
      <c r="B197" s="2" t="s">
        <v>29</v>
      </c>
      <c r="C197" s="2"/>
      <c r="D197" s="2" t="s">
        <v>749</v>
      </c>
      <c r="E197" s="2" t="s">
        <v>992</v>
      </c>
      <c r="F197" s="2" t="s">
        <v>81</v>
      </c>
      <c r="G197" s="2"/>
      <c r="H197" s="2"/>
      <c r="I197" s="2"/>
      <c r="J197" s="2"/>
      <c r="K197" s="2"/>
      <c r="L197" s="2"/>
      <c r="M197" s="2"/>
      <c r="N197" s="2"/>
      <c r="O197" s="2" t="s">
        <v>32</v>
      </c>
      <c r="P197" s="2" t="s">
        <v>241</v>
      </c>
      <c r="Q197" s="2"/>
      <c r="R197" s="2"/>
      <c r="S197" s="2"/>
      <c r="T197" s="2"/>
      <c r="U197" s="2" t="s">
        <v>207</v>
      </c>
      <c r="V197" s="2"/>
      <c r="W197" s="2"/>
      <c r="X197" s="2" t="s">
        <v>38</v>
      </c>
      <c r="Y197" s="2" t="s">
        <v>39</v>
      </c>
      <c r="Z197" s="2" t="s">
        <v>40</v>
      </c>
      <c r="AA197" s="2" t="s">
        <v>41</v>
      </c>
      <c r="AB197" s="3" t="s">
        <v>993</v>
      </c>
      <c r="AC197">
        <f>COUNTIF(Sheet1!$A$1:$A$50,Firms!A197)</f>
        <v>0</v>
      </c>
    </row>
    <row r="198" spans="1:30" ht="15" hidden="1" customHeight="1" x14ac:dyDescent="0.45">
      <c r="A198" s="4" t="s">
        <v>994</v>
      </c>
      <c r="B198" s="4" t="s">
        <v>29</v>
      </c>
      <c r="C198" s="4"/>
      <c r="D198" s="4"/>
      <c r="E198" s="4" t="s">
        <v>995</v>
      </c>
      <c r="F198" s="4"/>
      <c r="G198" s="4"/>
      <c r="H198" s="4"/>
      <c r="I198" s="4"/>
      <c r="J198" s="4"/>
      <c r="K198" s="4"/>
      <c r="L198" s="4"/>
      <c r="M198" s="4"/>
      <c r="N198" s="4"/>
      <c r="O198" s="4"/>
      <c r="P198" s="4" t="s">
        <v>116</v>
      </c>
      <c r="Q198" s="4"/>
      <c r="R198" s="4"/>
      <c r="S198" s="4"/>
      <c r="T198" s="4" t="s">
        <v>996</v>
      </c>
      <c r="U198" s="4" t="s">
        <v>35</v>
      </c>
      <c r="V198" s="4"/>
      <c r="W198" s="4"/>
      <c r="X198" s="4" t="s">
        <v>47</v>
      </c>
      <c r="Y198" s="4" t="s">
        <v>48</v>
      </c>
      <c r="Z198" s="4" t="s">
        <v>40</v>
      </c>
      <c r="AA198" s="4" t="s">
        <v>41</v>
      </c>
      <c r="AB198" s="5" t="s">
        <v>997</v>
      </c>
      <c r="AC198">
        <f>COUNTIF(Sheet1!$A$1:$A$50,Firms!A198)</f>
        <v>0</v>
      </c>
    </row>
    <row r="199" spans="1:30" ht="15" hidden="1" customHeight="1" x14ac:dyDescent="0.45">
      <c r="A199" s="2" t="s">
        <v>998</v>
      </c>
      <c r="B199" s="2" t="s">
        <v>29</v>
      </c>
      <c r="C199" s="2"/>
      <c r="D199" s="2"/>
      <c r="E199" s="2" t="s">
        <v>999</v>
      </c>
      <c r="F199" s="2" t="s">
        <v>31</v>
      </c>
      <c r="G199" s="2"/>
      <c r="H199" s="2"/>
      <c r="I199" s="2"/>
      <c r="J199" s="2"/>
      <c r="K199" s="2"/>
      <c r="L199" s="2"/>
      <c r="M199" s="2"/>
      <c r="N199" s="2"/>
      <c r="O199" s="2" t="s">
        <v>32</v>
      </c>
      <c r="P199" s="2" t="s">
        <v>1000</v>
      </c>
      <c r="Q199" s="2"/>
      <c r="R199" s="2"/>
      <c r="S199" s="2"/>
      <c r="T199" s="2" t="s">
        <v>98</v>
      </c>
      <c r="U199" s="2" t="s">
        <v>35</v>
      </c>
      <c r="V199" s="2" t="s">
        <v>1001</v>
      </c>
      <c r="W199" s="2"/>
      <c r="X199" s="2" t="s">
        <v>38</v>
      </c>
      <c r="Y199" s="2" t="s">
        <v>39</v>
      </c>
      <c r="Z199" s="2" t="s">
        <v>40</v>
      </c>
      <c r="AA199" s="2" t="s">
        <v>41</v>
      </c>
      <c r="AB199" s="3" t="s">
        <v>1002</v>
      </c>
      <c r="AC199">
        <f>COUNTIF(Sheet1!$A$1:$A$50,Firms!A199)</f>
        <v>0</v>
      </c>
    </row>
    <row r="200" spans="1:30" ht="15" hidden="1" customHeight="1" x14ac:dyDescent="0.45">
      <c r="A200" s="6" t="s">
        <v>1003</v>
      </c>
      <c r="B200" s="6" t="s">
        <v>291</v>
      </c>
      <c r="C200" s="6" t="s">
        <v>804</v>
      </c>
      <c r="D200" s="6" t="s">
        <v>805</v>
      </c>
      <c r="E200" s="6" t="s">
        <v>1004</v>
      </c>
      <c r="F200" s="6" t="s">
        <v>31</v>
      </c>
      <c r="G200" s="6" t="s">
        <v>192</v>
      </c>
      <c r="H200" s="6" t="s">
        <v>70</v>
      </c>
      <c r="I200" s="6"/>
      <c r="J200" s="6"/>
      <c r="K200" s="6"/>
      <c r="L200" s="6"/>
      <c r="M200" s="6"/>
      <c r="N200" s="6"/>
      <c r="O200" s="6" t="s">
        <v>32</v>
      </c>
      <c r="P200" s="6" t="s">
        <v>549</v>
      </c>
      <c r="Q200" s="6"/>
      <c r="R200" s="6"/>
      <c r="S200" s="6"/>
      <c r="T200" s="6"/>
      <c r="U200" s="6" t="s">
        <v>35</v>
      </c>
      <c r="V200" s="6"/>
      <c r="W200" s="6"/>
      <c r="X200" s="6" t="s">
        <v>63</v>
      </c>
      <c r="Y200" s="6" t="s">
        <v>39</v>
      </c>
      <c r="Z200" s="6" t="s">
        <v>40</v>
      </c>
      <c r="AA200" s="6" t="s">
        <v>41</v>
      </c>
      <c r="AB200" s="7" t="s">
        <v>1005</v>
      </c>
      <c r="AC200">
        <f>COUNTIF(Sheet1!$A$1:$A$50,Firms!A200)</f>
        <v>0</v>
      </c>
    </row>
    <row r="201" spans="1:30" ht="15" hidden="1" customHeight="1" x14ac:dyDescent="0.45">
      <c r="A201" s="2" t="s">
        <v>1006</v>
      </c>
      <c r="B201" s="2" t="s">
        <v>291</v>
      </c>
      <c r="C201" s="2" t="s">
        <v>1007</v>
      </c>
      <c r="D201" s="2"/>
      <c r="E201" s="2" t="s">
        <v>1008</v>
      </c>
      <c r="F201" s="2" t="s">
        <v>31</v>
      </c>
      <c r="G201" s="2"/>
      <c r="H201" s="2"/>
      <c r="I201" s="2"/>
      <c r="J201" s="2"/>
      <c r="K201" s="2"/>
      <c r="L201" s="2"/>
      <c r="M201" s="2"/>
      <c r="N201" s="2"/>
      <c r="O201" s="2" t="s">
        <v>32</v>
      </c>
      <c r="P201" s="2" t="s">
        <v>1009</v>
      </c>
      <c r="Q201" s="2"/>
      <c r="R201" s="2"/>
      <c r="S201" s="2"/>
      <c r="T201" s="2"/>
      <c r="U201" s="2"/>
      <c r="V201" s="2"/>
      <c r="W201" s="2"/>
      <c r="X201" s="2" t="s">
        <v>38</v>
      </c>
      <c r="Y201" s="2" t="s">
        <v>39</v>
      </c>
      <c r="Z201" s="2" t="s">
        <v>40</v>
      </c>
      <c r="AA201" s="2" t="s">
        <v>41</v>
      </c>
      <c r="AB201" s="3" t="s">
        <v>1010</v>
      </c>
      <c r="AC201">
        <f>COUNTIF(Sheet1!$A$1:$A$50,Firms!A201)</f>
        <v>0</v>
      </c>
    </row>
    <row r="202" spans="1:30" ht="15" hidden="1" customHeight="1" x14ac:dyDescent="0.45">
      <c r="A202" s="4" t="s">
        <v>1011</v>
      </c>
      <c r="B202" s="4" t="s">
        <v>29</v>
      </c>
      <c r="C202" s="4"/>
      <c r="D202" s="4"/>
      <c r="E202" s="4" t="s">
        <v>1012</v>
      </c>
      <c r="F202" s="4"/>
      <c r="G202" s="4"/>
      <c r="H202" s="4"/>
      <c r="I202" s="4"/>
      <c r="J202" s="4"/>
      <c r="K202" s="4"/>
      <c r="L202" s="4"/>
      <c r="M202" s="4"/>
      <c r="N202" s="4"/>
      <c r="O202" s="4"/>
      <c r="P202" s="4" t="s">
        <v>339</v>
      </c>
      <c r="Q202" s="4"/>
      <c r="R202" s="4"/>
      <c r="S202" s="4"/>
      <c r="T202" s="4" t="s">
        <v>1013</v>
      </c>
      <c r="U202" s="4" t="s">
        <v>35</v>
      </c>
      <c r="V202" s="4"/>
      <c r="W202" s="4"/>
      <c r="X202" s="4" t="s">
        <v>47</v>
      </c>
      <c r="Y202" s="4" t="s">
        <v>48</v>
      </c>
      <c r="Z202" s="4" t="s">
        <v>40</v>
      </c>
      <c r="AA202" s="4" t="s">
        <v>41</v>
      </c>
      <c r="AB202" s="5" t="s">
        <v>1014</v>
      </c>
      <c r="AC202">
        <f>COUNTIF(Sheet1!$A$1:$A$50,Firms!A202)</f>
        <v>0</v>
      </c>
    </row>
    <row r="203" spans="1:30" ht="15" hidden="1" customHeight="1" x14ac:dyDescent="0.45">
      <c r="A203" s="4" t="s">
        <v>1015</v>
      </c>
      <c r="B203" s="4" t="s">
        <v>44</v>
      </c>
      <c r="C203" s="4"/>
      <c r="D203" s="4"/>
      <c r="E203" s="4" t="s">
        <v>1016</v>
      </c>
      <c r="F203" s="4"/>
      <c r="G203" s="4"/>
      <c r="H203" s="4"/>
      <c r="I203" s="4"/>
      <c r="J203" s="4"/>
      <c r="K203" s="4"/>
      <c r="L203" s="4"/>
      <c r="M203" s="4"/>
      <c r="N203" s="4"/>
      <c r="O203" s="4"/>
      <c r="P203" s="4"/>
      <c r="Q203" s="4"/>
      <c r="R203" s="4"/>
      <c r="S203" s="4"/>
      <c r="T203" s="4"/>
      <c r="U203" s="4" t="s">
        <v>35</v>
      </c>
      <c r="V203" s="4"/>
      <c r="W203" s="4"/>
      <c r="X203" s="4" t="s">
        <v>47</v>
      </c>
      <c r="Y203" s="4" t="s">
        <v>48</v>
      </c>
      <c r="Z203" s="4" t="s">
        <v>40</v>
      </c>
      <c r="AA203" s="4" t="s">
        <v>41</v>
      </c>
      <c r="AB203" s="5" t="s">
        <v>1017</v>
      </c>
      <c r="AC203">
        <f>COUNTIF(Sheet1!$A$1:$A$50,Firms!A203)</f>
        <v>0</v>
      </c>
    </row>
    <row r="204" spans="1:30" ht="15" hidden="1" customHeight="1" x14ac:dyDescent="0.45">
      <c r="A204" s="2" t="s">
        <v>1018</v>
      </c>
      <c r="B204" s="2" t="s">
        <v>29</v>
      </c>
      <c r="C204" s="2"/>
      <c r="D204" s="2" t="s">
        <v>1019</v>
      </c>
      <c r="E204" s="2" t="s">
        <v>1020</v>
      </c>
      <c r="F204" s="2" t="s">
        <v>405</v>
      </c>
      <c r="G204" s="2"/>
      <c r="H204" s="2"/>
      <c r="I204" s="2"/>
      <c r="J204" s="2"/>
      <c r="K204" s="2"/>
      <c r="L204" s="2"/>
      <c r="M204" s="2"/>
      <c r="N204" s="2"/>
      <c r="O204" s="2" t="s">
        <v>32</v>
      </c>
      <c r="P204" s="2" t="s">
        <v>1021</v>
      </c>
      <c r="Q204" s="2"/>
      <c r="R204" s="2"/>
      <c r="S204" s="2"/>
      <c r="T204" s="2"/>
      <c r="U204" s="2" t="s">
        <v>35</v>
      </c>
      <c r="V204" s="2"/>
      <c r="W204" s="2"/>
      <c r="X204" s="2" t="s">
        <v>38</v>
      </c>
      <c r="Y204" s="2" t="s">
        <v>39</v>
      </c>
      <c r="Z204" s="2" t="s">
        <v>40</v>
      </c>
      <c r="AA204" s="2" t="s">
        <v>41</v>
      </c>
      <c r="AB204" s="3" t="s">
        <v>1022</v>
      </c>
      <c r="AC204">
        <f>COUNTIF(Sheet1!$A$1:$A$50,Firms!A204)</f>
        <v>0</v>
      </c>
    </row>
    <row r="205" spans="1:30" ht="15" hidden="1" customHeight="1" x14ac:dyDescent="0.45">
      <c r="A205" s="6" t="s">
        <v>1023</v>
      </c>
      <c r="B205" s="6" t="s">
        <v>29</v>
      </c>
      <c r="C205" s="6" t="s">
        <v>453</v>
      </c>
      <c r="D205" s="6" t="s">
        <v>1024</v>
      </c>
      <c r="E205" s="6" t="s">
        <v>1025</v>
      </c>
      <c r="F205" s="6" t="s">
        <v>31</v>
      </c>
      <c r="G205" s="6"/>
      <c r="H205" s="6"/>
      <c r="I205" s="6"/>
      <c r="J205" s="6"/>
      <c r="K205" s="6" t="s">
        <v>58</v>
      </c>
      <c r="L205" s="6" t="s">
        <v>57</v>
      </c>
      <c r="M205" s="6"/>
      <c r="N205" s="6"/>
      <c r="O205" s="6" t="s">
        <v>60</v>
      </c>
      <c r="P205" s="6" t="s">
        <v>595</v>
      </c>
      <c r="Q205" s="6"/>
      <c r="R205" s="6"/>
      <c r="S205" s="6"/>
      <c r="T205" s="6"/>
      <c r="U205" s="6" t="s">
        <v>35</v>
      </c>
      <c r="V205" s="6"/>
      <c r="W205" s="6"/>
      <c r="X205" s="6" t="s">
        <v>63</v>
      </c>
      <c r="Y205" s="6" t="s">
        <v>39</v>
      </c>
      <c r="Z205" s="6" t="s">
        <v>40</v>
      </c>
      <c r="AA205" s="6" t="s">
        <v>41</v>
      </c>
      <c r="AB205" s="7" t="s">
        <v>1026</v>
      </c>
      <c r="AC205">
        <f>COUNTIF(Sheet1!$A$1:$A$50,Firms!A205)</f>
        <v>0</v>
      </c>
    </row>
    <row r="206" spans="1:30" ht="15" customHeight="1" x14ac:dyDescent="0.45">
      <c r="A206" s="6" t="s">
        <v>1027</v>
      </c>
      <c r="B206" s="6" t="s">
        <v>29</v>
      </c>
      <c r="C206" s="6" t="s">
        <v>839</v>
      </c>
      <c r="D206" s="6" t="s">
        <v>1028</v>
      </c>
      <c r="E206" s="6" t="s">
        <v>1029</v>
      </c>
      <c r="F206" s="6" t="s">
        <v>31</v>
      </c>
      <c r="G206" s="6" t="s">
        <v>70</v>
      </c>
      <c r="H206" s="6" t="s">
        <v>456</v>
      </c>
      <c r="I206" s="6" t="s">
        <v>69</v>
      </c>
      <c r="J206" s="6" t="s">
        <v>70</v>
      </c>
      <c r="K206" s="6"/>
      <c r="L206" s="6"/>
      <c r="M206" s="6" t="s">
        <v>54</v>
      </c>
      <c r="N206" s="6" t="s">
        <v>55</v>
      </c>
      <c r="O206" s="6" t="s">
        <v>32</v>
      </c>
      <c r="P206" s="6" t="s">
        <v>279</v>
      </c>
      <c r="Q206" s="6"/>
      <c r="R206" s="6"/>
      <c r="S206" s="6"/>
      <c r="T206" s="6"/>
      <c r="U206" s="6" t="s">
        <v>35</v>
      </c>
      <c r="V206" s="6"/>
      <c r="W206" s="6"/>
      <c r="X206" s="6" t="s">
        <v>63</v>
      </c>
      <c r="Y206" s="6" t="s">
        <v>39</v>
      </c>
      <c r="Z206" s="6" t="s">
        <v>40</v>
      </c>
      <c r="AA206" s="6" t="s">
        <v>41</v>
      </c>
      <c r="AB206" s="7" t="s">
        <v>1030</v>
      </c>
      <c r="AC206">
        <f>COUNTIF(Sheet1!$A$1:$A$50,Firms!A206)</f>
        <v>1</v>
      </c>
      <c r="AD206" t="str">
        <f>SUBSTITUTE(AB206,"Seeded from CapIQ export. Numeric fields are regex first-pass — c","C")</f>
        <v>Crawler will confirm. capiq_description preserved for AI extraction fallback. | [extractor] Explicit investment criteria page clearly states middle-market industrials focus. Control equity investments in manufacturing and value-added distribution businesses. Geographic scope: North America (19 US states, 2 Canadian provinces, Mexico). Platform companies typically $50-500M revenue with $5-50M EBITDA. Check sizes $15-100M. Four funds identified: IOP Fund II, III, IV with current 14 active holdings and 25 exited. Management alignment preferred. Seeks control positions with operational improvements and/or growth potential.</v>
      </c>
    </row>
    <row r="207" spans="1:30" ht="15" hidden="1" customHeight="1" x14ac:dyDescent="0.45">
      <c r="A207" s="4" t="s">
        <v>1031</v>
      </c>
      <c r="B207" s="4" t="s">
        <v>29</v>
      </c>
      <c r="C207" s="4"/>
      <c r="D207" s="4"/>
      <c r="E207" s="4" t="s">
        <v>1032</v>
      </c>
      <c r="F207" s="4"/>
      <c r="G207" s="4"/>
      <c r="H207" s="4"/>
      <c r="I207" s="4"/>
      <c r="J207" s="4"/>
      <c r="K207" s="4"/>
      <c r="L207" s="4"/>
      <c r="M207" s="4"/>
      <c r="N207" s="4"/>
      <c r="O207" s="4"/>
      <c r="P207" s="4" t="s">
        <v>1033</v>
      </c>
      <c r="Q207" s="4"/>
      <c r="R207" s="4"/>
      <c r="S207" s="4"/>
      <c r="T207" s="4"/>
      <c r="U207" s="4" t="s">
        <v>35</v>
      </c>
      <c r="V207" s="4"/>
      <c r="W207" s="4"/>
      <c r="X207" s="4" t="s">
        <v>47</v>
      </c>
      <c r="Y207" s="4" t="s">
        <v>48</v>
      </c>
      <c r="Z207" s="4" t="s">
        <v>40</v>
      </c>
      <c r="AA207" s="4" t="s">
        <v>41</v>
      </c>
      <c r="AB207" s="5" t="s">
        <v>1034</v>
      </c>
      <c r="AC207">
        <f>COUNTIF(Sheet1!$A$1:$A$50,Firms!A207)</f>
        <v>0</v>
      </c>
    </row>
    <row r="208" spans="1:30" ht="15" hidden="1" customHeight="1" x14ac:dyDescent="0.45">
      <c r="A208" s="2" t="s">
        <v>1035</v>
      </c>
      <c r="B208" s="2" t="s">
        <v>44</v>
      </c>
      <c r="C208" s="2"/>
      <c r="D208" s="2" t="s">
        <v>1036</v>
      </c>
      <c r="E208" s="2" t="s">
        <v>1037</v>
      </c>
      <c r="F208" s="2" t="s">
        <v>81</v>
      </c>
      <c r="G208" s="2"/>
      <c r="H208" s="2"/>
      <c r="I208" s="2"/>
      <c r="J208" s="2"/>
      <c r="K208" s="2"/>
      <c r="L208" s="2"/>
      <c r="M208" s="2"/>
      <c r="N208" s="2"/>
      <c r="O208" s="2"/>
      <c r="P208" s="2" t="s">
        <v>494</v>
      </c>
      <c r="Q208" s="2"/>
      <c r="R208" s="2"/>
      <c r="S208" s="2"/>
      <c r="T208" s="2"/>
      <c r="U208" s="2" t="s">
        <v>35</v>
      </c>
      <c r="V208" s="2"/>
      <c r="W208" s="2" t="s">
        <v>1038</v>
      </c>
      <c r="X208" s="2" t="s">
        <v>38</v>
      </c>
      <c r="Y208" s="2" t="s">
        <v>39</v>
      </c>
      <c r="Z208" s="2" t="s">
        <v>40</v>
      </c>
      <c r="AA208" s="2" t="s">
        <v>41</v>
      </c>
      <c r="AB208" s="3" t="s">
        <v>1039</v>
      </c>
      <c r="AC208">
        <f>COUNTIF(Sheet1!$A$1:$A$50,Firms!A208)</f>
        <v>0</v>
      </c>
    </row>
    <row r="209" spans="1:30" ht="15" hidden="1" customHeight="1" x14ac:dyDescent="0.45">
      <c r="A209" s="6" t="s">
        <v>1040</v>
      </c>
      <c r="B209" s="6" t="s">
        <v>29</v>
      </c>
      <c r="C209" s="6" t="s">
        <v>132</v>
      </c>
      <c r="D209" s="6" t="s">
        <v>855</v>
      </c>
      <c r="E209" s="6" t="s">
        <v>1041</v>
      </c>
      <c r="F209" s="6" t="s">
        <v>81</v>
      </c>
      <c r="G209" s="6" t="s">
        <v>70</v>
      </c>
      <c r="H209" s="6" t="s">
        <v>258</v>
      </c>
      <c r="I209" s="6"/>
      <c r="J209" s="6"/>
      <c r="K209" s="6"/>
      <c r="L209" s="6"/>
      <c r="M209" s="6" t="s">
        <v>58</v>
      </c>
      <c r="N209" s="6" t="s">
        <v>55</v>
      </c>
      <c r="O209" s="6" t="s">
        <v>32</v>
      </c>
      <c r="P209" s="6" t="s">
        <v>1042</v>
      </c>
      <c r="Q209" s="6"/>
      <c r="R209" s="6"/>
      <c r="S209" s="6"/>
      <c r="T209" s="6"/>
      <c r="U209" s="6" t="s">
        <v>35</v>
      </c>
      <c r="V209" s="6" t="s">
        <v>612</v>
      </c>
      <c r="W209" s="6"/>
      <c r="X209" s="6" t="s">
        <v>63</v>
      </c>
      <c r="Y209" s="6" t="s">
        <v>39</v>
      </c>
      <c r="Z209" s="6" t="s">
        <v>40</v>
      </c>
      <c r="AA209" s="6" t="s">
        <v>41</v>
      </c>
      <c r="AB209" s="7" t="s">
        <v>1043</v>
      </c>
      <c r="AC209">
        <f>COUNTIF(Sheet1!$A$1:$A$50,Firms!A209)</f>
        <v>0</v>
      </c>
    </row>
    <row r="210" spans="1:30" ht="15" hidden="1" customHeight="1" x14ac:dyDescent="0.45">
      <c r="A210" s="4" t="s">
        <v>1044</v>
      </c>
      <c r="B210" s="4" t="s">
        <v>44</v>
      </c>
      <c r="C210" s="4"/>
      <c r="D210" s="4"/>
      <c r="E210" s="4" t="s">
        <v>1045</v>
      </c>
      <c r="F210" s="4"/>
      <c r="G210" s="4"/>
      <c r="H210" s="4"/>
      <c r="I210" s="4"/>
      <c r="J210" s="4"/>
      <c r="K210" s="4"/>
      <c r="L210" s="4"/>
      <c r="M210" s="4"/>
      <c r="N210" s="4"/>
      <c r="O210" s="4"/>
      <c r="P210" s="4" t="s">
        <v>356</v>
      </c>
      <c r="Q210" s="4"/>
      <c r="R210" s="4"/>
      <c r="S210" s="4"/>
      <c r="T210" s="4" t="s">
        <v>1046</v>
      </c>
      <c r="U210" s="4" t="s">
        <v>35</v>
      </c>
      <c r="V210" s="4"/>
      <c r="W210" s="4"/>
      <c r="X210" s="4" t="s">
        <v>47</v>
      </c>
      <c r="Y210" s="4" t="s">
        <v>48</v>
      </c>
      <c r="Z210" s="4" t="s">
        <v>40</v>
      </c>
      <c r="AA210" s="4" t="s">
        <v>41</v>
      </c>
      <c r="AB210" s="5" t="s">
        <v>1047</v>
      </c>
      <c r="AC210">
        <f>COUNTIF(Sheet1!$A$1:$A$50,Firms!A210)</f>
        <v>0</v>
      </c>
    </row>
    <row r="211" spans="1:30" ht="15" hidden="1" customHeight="1" x14ac:dyDescent="0.45">
      <c r="A211" s="2" t="s">
        <v>1048</v>
      </c>
      <c r="B211" s="2" t="s">
        <v>29</v>
      </c>
      <c r="C211" s="2" t="s">
        <v>101</v>
      </c>
      <c r="D211" s="2" t="s">
        <v>477</v>
      </c>
      <c r="E211" s="2" t="s">
        <v>1049</v>
      </c>
      <c r="F211" s="2" t="s">
        <v>81</v>
      </c>
      <c r="G211" s="2"/>
      <c r="H211" s="2"/>
      <c r="I211" s="2"/>
      <c r="J211" s="2"/>
      <c r="K211" s="2"/>
      <c r="L211" s="2" t="s">
        <v>57</v>
      </c>
      <c r="M211" s="2"/>
      <c r="N211" s="2"/>
      <c r="O211" s="2" t="s">
        <v>294</v>
      </c>
      <c r="P211" s="2" t="s">
        <v>1050</v>
      </c>
      <c r="Q211" s="2"/>
      <c r="R211" s="2"/>
      <c r="S211" s="2"/>
      <c r="T211" s="2"/>
      <c r="U211" s="2" t="s">
        <v>35</v>
      </c>
      <c r="V211" s="2" t="s">
        <v>1051</v>
      </c>
      <c r="W211" s="2"/>
      <c r="X211" s="2" t="s">
        <v>38</v>
      </c>
      <c r="Y211" s="2" t="s">
        <v>39</v>
      </c>
      <c r="Z211" s="2" t="s">
        <v>40</v>
      </c>
      <c r="AA211" s="2" t="s">
        <v>41</v>
      </c>
      <c r="AB211" s="3" t="s">
        <v>1052</v>
      </c>
      <c r="AC211">
        <f>COUNTIF(Sheet1!$A$1:$A$50,Firms!A211)</f>
        <v>0</v>
      </c>
    </row>
    <row r="212" spans="1:30" ht="15" hidden="1" customHeight="1" x14ac:dyDescent="0.45">
      <c r="A212" s="4" t="s">
        <v>1053</v>
      </c>
      <c r="B212" s="4" t="s">
        <v>44</v>
      </c>
      <c r="C212" s="4"/>
      <c r="D212" s="4"/>
      <c r="E212" s="4" t="s">
        <v>1054</v>
      </c>
      <c r="F212" s="4"/>
      <c r="G212" s="4"/>
      <c r="H212" s="4"/>
      <c r="I212" s="4"/>
      <c r="J212" s="4"/>
      <c r="K212" s="4"/>
      <c r="L212" s="4"/>
      <c r="M212" s="4"/>
      <c r="N212" s="4"/>
      <c r="O212" s="4"/>
      <c r="P212" s="4" t="s">
        <v>105</v>
      </c>
      <c r="Q212" s="4"/>
      <c r="R212" s="4"/>
      <c r="S212" s="4"/>
      <c r="T212" s="4"/>
      <c r="U212" s="4" t="s">
        <v>35</v>
      </c>
      <c r="V212" s="4"/>
      <c r="W212" s="4"/>
      <c r="X212" s="4" t="s">
        <v>47</v>
      </c>
      <c r="Y212" s="4" t="s">
        <v>48</v>
      </c>
      <c r="Z212" s="4" t="s">
        <v>40</v>
      </c>
      <c r="AA212" s="4" t="s">
        <v>41</v>
      </c>
      <c r="AB212" s="5" t="s">
        <v>1055</v>
      </c>
      <c r="AC212">
        <f>COUNTIF(Sheet1!$A$1:$A$50,Firms!A212)</f>
        <v>0</v>
      </c>
    </row>
    <row r="213" spans="1:30" ht="15" hidden="1" customHeight="1" x14ac:dyDescent="0.45">
      <c r="A213" s="4" t="s">
        <v>1056</v>
      </c>
      <c r="B213" s="4" t="s">
        <v>44</v>
      </c>
      <c r="C213" s="4"/>
      <c r="D213" s="4" t="s">
        <v>1057</v>
      </c>
      <c r="E213" s="4" t="s">
        <v>1058</v>
      </c>
      <c r="F213" s="4"/>
      <c r="G213" s="4"/>
      <c r="H213" s="4"/>
      <c r="I213" s="4"/>
      <c r="J213" s="4"/>
      <c r="K213" s="4"/>
      <c r="L213" s="4"/>
      <c r="M213" s="4"/>
      <c r="N213" s="4"/>
      <c r="O213" s="4"/>
      <c r="P213" s="4"/>
      <c r="Q213" s="4"/>
      <c r="R213" s="4"/>
      <c r="S213" s="4"/>
      <c r="T213" s="4"/>
      <c r="U213" s="4" t="s">
        <v>35</v>
      </c>
      <c r="V213" s="4"/>
      <c r="W213" s="4"/>
      <c r="X213" s="4" t="s">
        <v>47</v>
      </c>
      <c r="Y213" s="4" t="s">
        <v>48</v>
      </c>
      <c r="Z213" s="4" t="s">
        <v>40</v>
      </c>
      <c r="AA213" s="4" t="s">
        <v>41</v>
      </c>
      <c r="AB213" s="5" t="s">
        <v>1059</v>
      </c>
      <c r="AC213">
        <f>COUNTIF(Sheet1!$A$1:$A$50,Firms!A213)</f>
        <v>0</v>
      </c>
    </row>
    <row r="214" spans="1:30" ht="15" hidden="1" customHeight="1" x14ac:dyDescent="0.45">
      <c r="A214" s="6" t="s">
        <v>1060</v>
      </c>
      <c r="B214" s="6" t="s">
        <v>29</v>
      </c>
      <c r="C214" s="6"/>
      <c r="D214" s="6"/>
      <c r="E214" s="6" t="s">
        <v>1061</v>
      </c>
      <c r="F214" s="6" t="s">
        <v>81</v>
      </c>
      <c r="G214" s="6" t="s">
        <v>192</v>
      </c>
      <c r="H214" s="6" t="s">
        <v>55</v>
      </c>
      <c r="I214" s="6"/>
      <c r="J214" s="6" t="s">
        <v>137</v>
      </c>
      <c r="K214" s="6"/>
      <c r="L214" s="6"/>
      <c r="M214" s="6" t="s">
        <v>137</v>
      </c>
      <c r="N214" s="6" t="s">
        <v>940</v>
      </c>
      <c r="O214" s="6" t="s">
        <v>32</v>
      </c>
      <c r="P214" s="6" t="s">
        <v>1062</v>
      </c>
      <c r="Q214" s="6"/>
      <c r="R214" s="6"/>
      <c r="S214" s="6"/>
      <c r="T214" s="6"/>
      <c r="U214" s="6" t="s">
        <v>35</v>
      </c>
      <c r="V214" s="6"/>
      <c r="W214" s="6"/>
      <c r="X214" s="6" t="s">
        <v>63</v>
      </c>
      <c r="Y214" s="6" t="s">
        <v>39</v>
      </c>
      <c r="Z214" s="6" t="s">
        <v>40</v>
      </c>
      <c r="AA214" s="6" t="s">
        <v>41</v>
      </c>
      <c r="AB214" s="7" t="s">
        <v>1063</v>
      </c>
      <c r="AC214">
        <f>COUNTIF(Sheet1!$A$1:$A$50,Firms!A214)</f>
        <v>0</v>
      </c>
    </row>
    <row r="215" spans="1:30" ht="15" hidden="1" customHeight="1" x14ac:dyDescent="0.45">
      <c r="A215" s="2" t="s">
        <v>1064</v>
      </c>
      <c r="B215" s="2" t="s">
        <v>29</v>
      </c>
      <c r="C215" s="2"/>
      <c r="D215" s="2"/>
      <c r="E215" s="2" t="s">
        <v>1065</v>
      </c>
      <c r="F215" s="2" t="s">
        <v>81</v>
      </c>
      <c r="G215" s="2"/>
      <c r="H215" s="2"/>
      <c r="I215" s="2"/>
      <c r="J215" s="2"/>
      <c r="K215" s="2"/>
      <c r="L215" s="2"/>
      <c r="M215" s="2"/>
      <c r="N215" s="2"/>
      <c r="O215" s="2" t="s">
        <v>32</v>
      </c>
      <c r="P215" s="2" t="s">
        <v>1066</v>
      </c>
      <c r="Q215" s="2"/>
      <c r="R215" s="2"/>
      <c r="S215" s="2"/>
      <c r="T215" s="2" t="s">
        <v>1067</v>
      </c>
      <c r="U215" s="2" t="s">
        <v>35</v>
      </c>
      <c r="V215" s="2"/>
      <c r="W215" s="2"/>
      <c r="X215" s="2" t="s">
        <v>38</v>
      </c>
      <c r="Y215" s="2" t="s">
        <v>39</v>
      </c>
      <c r="Z215" s="2" t="s">
        <v>40</v>
      </c>
      <c r="AA215" s="2" t="s">
        <v>41</v>
      </c>
      <c r="AB215" s="3" t="s">
        <v>1068</v>
      </c>
      <c r="AC215">
        <f>COUNTIF(Sheet1!$A$1:$A$50,Firms!A215)</f>
        <v>0</v>
      </c>
    </row>
    <row r="216" spans="1:30" ht="15" hidden="1" customHeight="1" x14ac:dyDescent="0.45">
      <c r="A216" s="2" t="s">
        <v>1069</v>
      </c>
      <c r="B216" s="2" t="s">
        <v>29</v>
      </c>
      <c r="C216" s="2"/>
      <c r="D216" s="2"/>
      <c r="E216" s="2" t="s">
        <v>1070</v>
      </c>
      <c r="F216" s="2" t="s">
        <v>81</v>
      </c>
      <c r="G216" s="2"/>
      <c r="H216" s="2"/>
      <c r="I216" s="2"/>
      <c r="J216" s="2"/>
      <c r="K216" s="2"/>
      <c r="L216" s="2"/>
      <c r="M216" s="2"/>
      <c r="N216" s="2"/>
      <c r="O216" s="2" t="s">
        <v>32</v>
      </c>
      <c r="P216" s="2" t="s">
        <v>351</v>
      </c>
      <c r="Q216" s="2"/>
      <c r="R216" s="2"/>
      <c r="S216" s="2"/>
      <c r="T216" s="2"/>
      <c r="U216" s="2" t="s">
        <v>35</v>
      </c>
      <c r="V216" s="2"/>
      <c r="W216" s="2"/>
      <c r="X216" s="2" t="s">
        <v>38</v>
      </c>
      <c r="Y216" s="2" t="s">
        <v>39</v>
      </c>
      <c r="Z216" s="2" t="s">
        <v>40</v>
      </c>
      <c r="AA216" s="2" t="s">
        <v>41</v>
      </c>
      <c r="AB216" s="3" t="s">
        <v>1071</v>
      </c>
      <c r="AC216">
        <f>COUNTIF(Sheet1!$A$1:$A$50,Firms!A216)</f>
        <v>0</v>
      </c>
    </row>
    <row r="217" spans="1:30" ht="15" hidden="1" customHeight="1" x14ac:dyDescent="0.45">
      <c r="A217" s="2" t="s">
        <v>1072</v>
      </c>
      <c r="B217" s="2" t="s">
        <v>291</v>
      </c>
      <c r="C217" s="2" t="s">
        <v>1073</v>
      </c>
      <c r="D217" s="2" t="s">
        <v>1074</v>
      </c>
      <c r="E217" s="2" t="s">
        <v>1075</v>
      </c>
      <c r="F217" s="2" t="s">
        <v>31</v>
      </c>
      <c r="G217" s="2"/>
      <c r="H217" s="2"/>
      <c r="I217" s="2"/>
      <c r="J217" s="2"/>
      <c r="K217" s="2"/>
      <c r="L217" s="2"/>
      <c r="M217" s="2"/>
      <c r="N217" s="2"/>
      <c r="O217" s="2"/>
      <c r="P217" s="2" t="s">
        <v>1076</v>
      </c>
      <c r="Q217" s="2"/>
      <c r="R217" s="2"/>
      <c r="S217" s="2"/>
      <c r="T217" s="2"/>
      <c r="U217" s="2" t="s">
        <v>35</v>
      </c>
      <c r="V217" s="2"/>
      <c r="W217" s="2"/>
      <c r="X217" s="2" t="s">
        <v>38</v>
      </c>
      <c r="Y217" s="2" t="s">
        <v>39</v>
      </c>
      <c r="Z217" s="2" t="s">
        <v>40</v>
      </c>
      <c r="AA217" s="2" t="s">
        <v>41</v>
      </c>
      <c r="AB217" s="3" t="s">
        <v>1077</v>
      </c>
      <c r="AC217">
        <f>COUNTIF(Sheet1!$A$1:$A$50,Firms!A217)</f>
        <v>0</v>
      </c>
    </row>
    <row r="218" spans="1:30" ht="15" hidden="1" customHeight="1" x14ac:dyDescent="0.45">
      <c r="A218" s="6" t="s">
        <v>1078</v>
      </c>
      <c r="B218" s="6" t="s">
        <v>29</v>
      </c>
      <c r="C218" s="6"/>
      <c r="D218" s="6"/>
      <c r="E218" s="6" t="s">
        <v>1079</v>
      </c>
      <c r="F218" s="6" t="s">
        <v>81</v>
      </c>
      <c r="G218" s="6" t="s">
        <v>58</v>
      </c>
      <c r="H218" s="6" t="s">
        <v>572</v>
      </c>
      <c r="I218" s="6" t="s">
        <v>69</v>
      </c>
      <c r="J218" s="6" t="s">
        <v>54</v>
      </c>
      <c r="K218" s="6" t="s">
        <v>58</v>
      </c>
      <c r="L218" s="6" t="s">
        <v>136</v>
      </c>
      <c r="M218" s="6" t="s">
        <v>192</v>
      </c>
      <c r="N218" s="6" t="s">
        <v>70</v>
      </c>
      <c r="O218" s="6" t="s">
        <v>32</v>
      </c>
      <c r="P218" s="6" t="s">
        <v>503</v>
      </c>
      <c r="Q218" s="6"/>
      <c r="R218" s="6"/>
      <c r="S218" s="6"/>
      <c r="T218" s="6"/>
      <c r="U218" s="6" t="s">
        <v>35</v>
      </c>
      <c r="V218" s="6"/>
      <c r="W218" s="6"/>
      <c r="X218" s="6" t="s">
        <v>63</v>
      </c>
      <c r="Y218" s="6" t="s">
        <v>39</v>
      </c>
      <c r="Z218" s="6" t="s">
        <v>40</v>
      </c>
      <c r="AA218" s="6" t="s">
        <v>41</v>
      </c>
      <c r="AB218" s="7" t="s">
        <v>1080</v>
      </c>
      <c r="AC218">
        <f>COUNTIF(Sheet1!$A$1:$A$50,Firms!A218)</f>
        <v>0</v>
      </c>
    </row>
    <row r="219" spans="1:30" ht="15" hidden="1" customHeight="1" x14ac:dyDescent="0.45">
      <c r="A219" s="6" t="s">
        <v>1081</v>
      </c>
      <c r="B219" s="6" t="s">
        <v>29</v>
      </c>
      <c r="C219" s="6" t="s">
        <v>78</v>
      </c>
      <c r="D219" s="6" t="s">
        <v>1082</v>
      </c>
      <c r="E219" s="6" t="s">
        <v>1083</v>
      </c>
      <c r="F219" s="6" t="s">
        <v>31</v>
      </c>
      <c r="G219" s="6" t="s">
        <v>137</v>
      </c>
      <c r="H219" s="6" t="s">
        <v>55</v>
      </c>
      <c r="I219" s="6" t="s">
        <v>135</v>
      </c>
      <c r="J219" s="6" t="s">
        <v>54</v>
      </c>
      <c r="K219" s="6"/>
      <c r="L219" s="6"/>
      <c r="M219" s="6"/>
      <c r="N219" s="6"/>
      <c r="O219" s="6" t="s">
        <v>32</v>
      </c>
      <c r="P219" s="6" t="s">
        <v>428</v>
      </c>
      <c r="Q219" s="6"/>
      <c r="R219" s="6"/>
      <c r="S219" s="6"/>
      <c r="T219" s="6"/>
      <c r="U219" s="6" t="s">
        <v>35</v>
      </c>
      <c r="V219" s="6"/>
      <c r="W219" s="6" t="s">
        <v>1081</v>
      </c>
      <c r="X219" s="6" t="s">
        <v>63</v>
      </c>
      <c r="Y219" s="6" t="s">
        <v>39</v>
      </c>
      <c r="Z219" s="6" t="s">
        <v>40</v>
      </c>
      <c r="AA219" s="6" t="s">
        <v>41</v>
      </c>
      <c r="AB219" s="7" t="s">
        <v>1084</v>
      </c>
      <c r="AC219">
        <f>COUNTIF(Sheet1!$A$1:$A$50,Firms!A219)</f>
        <v>0</v>
      </c>
    </row>
    <row r="220" spans="1:30" ht="15" customHeight="1" x14ac:dyDescent="0.45">
      <c r="A220" s="2" t="s">
        <v>1085</v>
      </c>
      <c r="B220" s="2" t="s">
        <v>29</v>
      </c>
      <c r="C220" s="2"/>
      <c r="D220" s="2"/>
      <c r="E220" s="2" t="s">
        <v>1086</v>
      </c>
      <c r="F220" s="2"/>
      <c r="G220" s="2"/>
      <c r="H220" s="2"/>
      <c r="I220" s="2"/>
      <c r="J220" s="2"/>
      <c r="K220" s="2"/>
      <c r="L220" s="2"/>
      <c r="M220" s="2"/>
      <c r="N220" s="2"/>
      <c r="O220" s="2" t="s">
        <v>32</v>
      </c>
      <c r="P220" s="2" t="s">
        <v>73</v>
      </c>
      <c r="Q220" s="2"/>
      <c r="R220" s="2"/>
      <c r="S220" s="2"/>
      <c r="T220" s="2" t="s">
        <v>1087</v>
      </c>
      <c r="U220" s="2" t="s">
        <v>35</v>
      </c>
      <c r="V220" s="2"/>
      <c r="W220" s="2"/>
      <c r="X220" s="2" t="s">
        <v>38</v>
      </c>
      <c r="Y220" s="2" t="s">
        <v>39</v>
      </c>
      <c r="Z220" s="2" t="s">
        <v>40</v>
      </c>
      <c r="AA220" s="2" t="s">
        <v>41</v>
      </c>
      <c r="AB220" s="3" t="s">
        <v>1088</v>
      </c>
      <c r="AC220">
        <f>COUNTIF(Sheet1!$A$1:$A$50,Firms!A220)</f>
        <v>1</v>
      </c>
      <c r="AD220" t="str">
        <f>SUBSTITUTE(AB220,"Seeded from CapIQ export. Numeric fields are regex first-pass — c","C")</f>
        <v>Crawler will confirm. capiq_description preserved for AI extraction fallback. | [extractor] Page describes KKR's investment approach and organization (750+ investment professionals) but contains no explicit investment criteria (size, EBITDA, revenue, geography restrictions). Firm_type inferred as PE based on company profile as global investment firm with private equity operations. Deal_types limited to Buyout based on references to control investments and portfolio company ownership. Sector_tier1 set to Generalist due to multi-strategy approach (PE, Infrastructure, Real Estate, Credit, etc.). HQ location, fund details, and specific investment parameters not found on this page. Needs_review=true due to lack of explicit criteria data.</v>
      </c>
    </row>
    <row r="221" spans="1:30" ht="15" hidden="1" customHeight="1" x14ac:dyDescent="0.45">
      <c r="A221" s="2" t="s">
        <v>1089</v>
      </c>
      <c r="B221" s="2" t="s">
        <v>29</v>
      </c>
      <c r="C221" s="2" t="s">
        <v>331</v>
      </c>
      <c r="D221" s="2" t="s">
        <v>332</v>
      </c>
      <c r="E221" s="2" t="s">
        <v>1090</v>
      </c>
      <c r="F221" s="2" t="s">
        <v>81</v>
      </c>
      <c r="G221" s="2"/>
      <c r="H221" s="2"/>
      <c r="I221" s="2"/>
      <c r="J221" s="2"/>
      <c r="K221" s="2"/>
      <c r="L221" s="2"/>
      <c r="M221" s="2"/>
      <c r="N221" s="2"/>
      <c r="O221" s="2" t="s">
        <v>32</v>
      </c>
      <c r="P221" s="2" t="s">
        <v>279</v>
      </c>
      <c r="Q221" s="2"/>
      <c r="R221" s="2"/>
      <c r="S221" s="2"/>
      <c r="T221" s="2"/>
      <c r="U221" s="2" t="s">
        <v>35</v>
      </c>
      <c r="V221" s="2"/>
      <c r="W221" s="2"/>
      <c r="X221" s="2" t="s">
        <v>38</v>
      </c>
      <c r="Y221" s="2" t="s">
        <v>39</v>
      </c>
      <c r="Z221" s="2" t="s">
        <v>40</v>
      </c>
      <c r="AA221" s="2" t="s">
        <v>41</v>
      </c>
      <c r="AB221" s="3" t="s">
        <v>1091</v>
      </c>
      <c r="AC221">
        <f>COUNTIF(Sheet1!$A$1:$A$50,Firms!A221)</f>
        <v>0</v>
      </c>
    </row>
    <row r="222" spans="1:30" ht="15" hidden="1" customHeight="1" x14ac:dyDescent="0.45">
      <c r="A222" s="4" t="s">
        <v>1092</v>
      </c>
      <c r="B222" s="4" t="s">
        <v>44</v>
      </c>
      <c r="C222" s="4"/>
      <c r="D222" s="4"/>
      <c r="E222" s="4" t="s">
        <v>1093</v>
      </c>
      <c r="F222" s="4"/>
      <c r="G222" s="4"/>
      <c r="H222" s="4"/>
      <c r="I222" s="4"/>
      <c r="J222" s="4"/>
      <c r="K222" s="4"/>
      <c r="L222" s="4"/>
      <c r="M222" s="4"/>
      <c r="N222" s="4"/>
      <c r="O222" s="4"/>
      <c r="P222" s="4" t="s">
        <v>1094</v>
      </c>
      <c r="Q222" s="4"/>
      <c r="R222" s="4"/>
      <c r="S222" s="4"/>
      <c r="T222" s="4"/>
      <c r="U222" s="4" t="s">
        <v>35</v>
      </c>
      <c r="V222" s="4"/>
      <c r="W222" s="4"/>
      <c r="X222" s="4" t="s">
        <v>47</v>
      </c>
      <c r="Y222" s="4" t="s">
        <v>48</v>
      </c>
      <c r="Z222" s="4" t="s">
        <v>40</v>
      </c>
      <c r="AA222" s="4" t="s">
        <v>41</v>
      </c>
      <c r="AB222" s="5" t="s">
        <v>1095</v>
      </c>
      <c r="AC222">
        <f>COUNTIF(Sheet1!$A$1:$A$50,Firms!A222)</f>
        <v>0</v>
      </c>
    </row>
    <row r="223" spans="1:30" ht="15" hidden="1" customHeight="1" x14ac:dyDescent="0.45">
      <c r="A223" s="6" t="s">
        <v>1096</v>
      </c>
      <c r="B223" s="6" t="s">
        <v>29</v>
      </c>
      <c r="C223" s="6" t="s">
        <v>1097</v>
      </c>
      <c r="D223" s="6" t="s">
        <v>805</v>
      </c>
      <c r="E223" s="6" t="s">
        <v>1098</v>
      </c>
      <c r="F223" s="6" t="s">
        <v>81</v>
      </c>
      <c r="G223" s="6"/>
      <c r="H223" s="6"/>
      <c r="I223" s="6" t="s">
        <v>69</v>
      </c>
      <c r="J223" s="6" t="s">
        <v>110</v>
      </c>
      <c r="K223" s="6"/>
      <c r="L223" s="6"/>
      <c r="M223" s="6"/>
      <c r="N223" s="6"/>
      <c r="O223" s="6" t="s">
        <v>916</v>
      </c>
      <c r="P223" s="6" t="s">
        <v>73</v>
      </c>
      <c r="Q223" s="6"/>
      <c r="R223" s="6"/>
      <c r="S223" s="6"/>
      <c r="T223" s="6"/>
      <c r="U223" s="6" t="s">
        <v>35</v>
      </c>
      <c r="V223" s="6"/>
      <c r="W223" s="6"/>
      <c r="X223" s="6" t="s">
        <v>63</v>
      </c>
      <c r="Y223" s="6" t="s">
        <v>39</v>
      </c>
      <c r="Z223" s="6" t="s">
        <v>40</v>
      </c>
      <c r="AA223" s="6" t="s">
        <v>41</v>
      </c>
      <c r="AB223" s="7" t="s">
        <v>1099</v>
      </c>
      <c r="AC223">
        <f>COUNTIF(Sheet1!$A$1:$A$50,Firms!A223)</f>
        <v>0</v>
      </c>
    </row>
    <row r="224" spans="1:30" ht="15" hidden="1" customHeight="1" x14ac:dyDescent="0.45">
      <c r="A224" s="4" t="s">
        <v>1100</v>
      </c>
      <c r="B224" s="4" t="s">
        <v>44</v>
      </c>
      <c r="C224" s="4"/>
      <c r="D224" s="4"/>
      <c r="E224" s="4" t="s">
        <v>1101</v>
      </c>
      <c r="F224" s="4"/>
      <c r="G224" s="4"/>
      <c r="H224" s="4"/>
      <c r="I224" s="4"/>
      <c r="J224" s="4"/>
      <c r="K224" s="4"/>
      <c r="L224" s="4"/>
      <c r="M224" s="4"/>
      <c r="N224" s="4"/>
      <c r="O224" s="4"/>
      <c r="P224" s="4" t="s">
        <v>197</v>
      </c>
      <c r="Q224" s="4"/>
      <c r="R224" s="4"/>
      <c r="S224" s="4"/>
      <c r="T224" s="4" t="s">
        <v>1102</v>
      </c>
      <c r="U224" s="4" t="s">
        <v>35</v>
      </c>
      <c r="V224" s="4"/>
      <c r="W224" s="4"/>
      <c r="X224" s="4" t="s">
        <v>47</v>
      </c>
      <c r="Y224" s="4" t="s">
        <v>48</v>
      </c>
      <c r="Z224" s="4" t="s">
        <v>40</v>
      </c>
      <c r="AA224" s="4" t="s">
        <v>41</v>
      </c>
      <c r="AB224" s="5" t="s">
        <v>1103</v>
      </c>
      <c r="AC224">
        <f>COUNTIF(Sheet1!$A$1:$A$50,Firms!A224)</f>
        <v>0</v>
      </c>
    </row>
    <row r="225" spans="1:30" ht="15" hidden="1" customHeight="1" x14ac:dyDescent="0.45">
      <c r="A225" s="4" t="s">
        <v>1104</v>
      </c>
      <c r="B225" s="4" t="s">
        <v>29</v>
      </c>
      <c r="C225" s="4"/>
      <c r="D225" s="4"/>
      <c r="E225" s="4" t="s">
        <v>1105</v>
      </c>
      <c r="F225" s="4"/>
      <c r="G225" s="4"/>
      <c r="H225" s="4"/>
      <c r="I225" s="4"/>
      <c r="J225" s="4"/>
      <c r="K225" s="4"/>
      <c r="L225" s="4"/>
      <c r="M225" s="4"/>
      <c r="N225" s="4"/>
      <c r="O225" s="4"/>
      <c r="P225" s="4"/>
      <c r="Q225" s="4"/>
      <c r="R225" s="4"/>
      <c r="S225" s="4"/>
      <c r="T225" s="4" t="s">
        <v>1106</v>
      </c>
      <c r="U225" s="4" t="s">
        <v>35</v>
      </c>
      <c r="V225" s="4"/>
      <c r="W225" s="4"/>
      <c r="X225" s="4" t="s">
        <v>47</v>
      </c>
      <c r="Y225" s="4" t="s">
        <v>48</v>
      </c>
      <c r="Z225" s="4" t="s">
        <v>40</v>
      </c>
      <c r="AA225" s="4" t="s">
        <v>41</v>
      </c>
      <c r="AB225" s="5" t="s">
        <v>1107</v>
      </c>
      <c r="AC225">
        <f>COUNTIF(Sheet1!$A$1:$A$50,Firms!A225)</f>
        <v>0</v>
      </c>
    </row>
    <row r="226" spans="1:30" ht="15" hidden="1" customHeight="1" x14ac:dyDescent="0.45">
      <c r="A226" s="4" t="s">
        <v>1108</v>
      </c>
      <c r="B226" s="4" t="s">
        <v>44</v>
      </c>
      <c r="C226" s="4"/>
      <c r="D226" s="4"/>
      <c r="E226" s="4" t="s">
        <v>1109</v>
      </c>
      <c r="F226" s="4"/>
      <c r="G226" s="4"/>
      <c r="H226" s="4"/>
      <c r="I226" s="4"/>
      <c r="J226" s="4"/>
      <c r="K226" s="4"/>
      <c r="L226" s="4"/>
      <c r="M226" s="4"/>
      <c r="N226" s="4"/>
      <c r="O226" s="4"/>
      <c r="P226" s="4" t="s">
        <v>158</v>
      </c>
      <c r="Q226" s="4"/>
      <c r="R226" s="4"/>
      <c r="S226" s="4"/>
      <c r="T226" s="4"/>
      <c r="U226" s="4" t="s">
        <v>35</v>
      </c>
      <c r="V226" s="4"/>
      <c r="W226" s="4"/>
      <c r="X226" s="4" t="s">
        <v>38</v>
      </c>
      <c r="Y226" s="4" t="s">
        <v>48</v>
      </c>
      <c r="Z226" s="4" t="s">
        <v>40</v>
      </c>
      <c r="AA226" s="4" t="s">
        <v>41</v>
      </c>
      <c r="AB226" s="5" t="s">
        <v>1110</v>
      </c>
      <c r="AC226">
        <f>COUNTIF(Sheet1!$A$1:$A$50,Firms!A226)</f>
        <v>0</v>
      </c>
    </row>
    <row r="227" spans="1:30" ht="15" hidden="1" customHeight="1" x14ac:dyDescent="0.45">
      <c r="A227" s="2" t="s">
        <v>1111</v>
      </c>
      <c r="B227" s="2" t="s">
        <v>29</v>
      </c>
      <c r="C227" s="2"/>
      <c r="D227" s="2"/>
      <c r="E227" s="2" t="s">
        <v>1112</v>
      </c>
      <c r="F227" s="2" t="s">
        <v>81</v>
      </c>
      <c r="G227" s="2"/>
      <c r="H227" s="2"/>
      <c r="I227" s="2"/>
      <c r="J227" s="2"/>
      <c r="K227" s="2"/>
      <c r="L227" s="2"/>
      <c r="M227" s="2"/>
      <c r="N227" s="2"/>
      <c r="O227" s="2" t="s">
        <v>32</v>
      </c>
      <c r="P227" s="2" t="s">
        <v>419</v>
      </c>
      <c r="Q227" s="2"/>
      <c r="R227" s="2"/>
      <c r="S227" s="2"/>
      <c r="T227" s="2" t="s">
        <v>1113</v>
      </c>
      <c r="U227" s="2" t="s">
        <v>35</v>
      </c>
      <c r="V227" s="2"/>
      <c r="W227" s="2"/>
      <c r="X227" s="2" t="s">
        <v>38</v>
      </c>
      <c r="Y227" s="2" t="s">
        <v>39</v>
      </c>
      <c r="Z227" s="2" t="s">
        <v>40</v>
      </c>
      <c r="AA227" s="2" t="s">
        <v>41</v>
      </c>
      <c r="AB227" s="3" t="s">
        <v>1114</v>
      </c>
      <c r="AC227">
        <f>COUNTIF(Sheet1!$A$1:$A$50,Firms!A227)</f>
        <v>0</v>
      </c>
    </row>
    <row r="228" spans="1:30" ht="15" hidden="1" customHeight="1" x14ac:dyDescent="0.45">
      <c r="A228" s="2" t="s">
        <v>1115</v>
      </c>
      <c r="B228" s="2" t="s">
        <v>291</v>
      </c>
      <c r="C228" s="2"/>
      <c r="D228" s="2" t="s">
        <v>1116</v>
      </c>
      <c r="E228" s="2" t="s">
        <v>1117</v>
      </c>
      <c r="F228" s="2" t="s">
        <v>81</v>
      </c>
      <c r="G228" s="2"/>
      <c r="H228" s="2"/>
      <c r="I228" s="2"/>
      <c r="J228" s="2"/>
      <c r="K228" s="2"/>
      <c r="L228" s="2"/>
      <c r="M228" s="2"/>
      <c r="N228" s="2"/>
      <c r="O228" s="2" t="s">
        <v>1118</v>
      </c>
      <c r="P228" s="2" t="s">
        <v>1119</v>
      </c>
      <c r="Q228" s="2" t="s">
        <v>1120</v>
      </c>
      <c r="R228" s="2"/>
      <c r="S228" s="2"/>
      <c r="T228" s="2" t="s">
        <v>1121</v>
      </c>
      <c r="U228" s="2" t="s">
        <v>35</v>
      </c>
      <c r="V228" s="2" t="s">
        <v>1122</v>
      </c>
      <c r="W228" s="2"/>
      <c r="X228" s="2" t="s">
        <v>38</v>
      </c>
      <c r="Y228" s="2" t="s">
        <v>39</v>
      </c>
      <c r="Z228" s="2" t="s">
        <v>40</v>
      </c>
      <c r="AA228" s="2" t="s">
        <v>41</v>
      </c>
      <c r="AB228" s="3" t="s">
        <v>1123</v>
      </c>
      <c r="AC228">
        <f>COUNTIF(Sheet1!$A$1:$A$50,Firms!A228)</f>
        <v>0</v>
      </c>
    </row>
    <row r="229" spans="1:30" ht="15" hidden="1" customHeight="1" x14ac:dyDescent="0.45">
      <c r="A229" s="2" t="s">
        <v>1124</v>
      </c>
      <c r="B229" s="2" t="s">
        <v>29</v>
      </c>
      <c r="C229" s="2" t="s">
        <v>101</v>
      </c>
      <c r="D229" s="2" t="s">
        <v>151</v>
      </c>
      <c r="E229" s="2" t="s">
        <v>1125</v>
      </c>
      <c r="F229" s="2" t="s">
        <v>81</v>
      </c>
      <c r="G229" s="2"/>
      <c r="H229" s="2"/>
      <c r="I229" s="2"/>
      <c r="J229" s="2"/>
      <c r="K229" s="2"/>
      <c r="L229" s="2"/>
      <c r="M229" s="2"/>
      <c r="N229" s="2"/>
      <c r="O229" s="2" t="s">
        <v>32</v>
      </c>
      <c r="P229" s="2" t="s">
        <v>1062</v>
      </c>
      <c r="Q229" s="2"/>
      <c r="R229" s="2"/>
      <c r="S229" s="2"/>
      <c r="T229" s="2" t="s">
        <v>545</v>
      </c>
      <c r="U229" s="2" t="s">
        <v>35</v>
      </c>
      <c r="V229" s="2" t="s">
        <v>1126</v>
      </c>
      <c r="W229" s="2"/>
      <c r="X229" s="2" t="s">
        <v>38</v>
      </c>
      <c r="Y229" s="2" t="s">
        <v>39</v>
      </c>
      <c r="Z229" s="2" t="s">
        <v>40</v>
      </c>
      <c r="AA229" s="2" t="s">
        <v>41</v>
      </c>
      <c r="AB229" s="3" t="s">
        <v>1127</v>
      </c>
      <c r="AC229">
        <f>COUNTIF(Sheet1!$A$1:$A$50,Firms!A229)</f>
        <v>0</v>
      </c>
    </row>
    <row r="230" spans="1:30" ht="15" hidden="1" customHeight="1" x14ac:dyDescent="0.45">
      <c r="A230" s="2" t="s">
        <v>1128</v>
      </c>
      <c r="B230" s="2" t="s">
        <v>29</v>
      </c>
      <c r="C230" s="2" t="s">
        <v>101</v>
      </c>
      <c r="D230" s="2" t="s">
        <v>557</v>
      </c>
      <c r="E230" s="2" t="s">
        <v>1129</v>
      </c>
      <c r="F230" s="2" t="s">
        <v>81</v>
      </c>
      <c r="G230" s="2"/>
      <c r="H230" s="2"/>
      <c r="I230" s="2"/>
      <c r="J230" s="2"/>
      <c r="K230" s="2"/>
      <c r="L230" s="2"/>
      <c r="M230" s="2"/>
      <c r="N230" s="2"/>
      <c r="O230" s="2" t="s">
        <v>32</v>
      </c>
      <c r="P230" s="2" t="s">
        <v>554</v>
      </c>
      <c r="Q230" s="2"/>
      <c r="R230" s="2"/>
      <c r="S230" s="2"/>
      <c r="T230" s="2" t="s">
        <v>1130</v>
      </c>
      <c r="U230" s="2" t="s">
        <v>35</v>
      </c>
      <c r="V230" s="2"/>
      <c r="W230" s="2"/>
      <c r="X230" s="2" t="s">
        <v>38</v>
      </c>
      <c r="Y230" s="2" t="s">
        <v>39</v>
      </c>
      <c r="Z230" s="2" t="s">
        <v>40</v>
      </c>
      <c r="AA230" s="2" t="s">
        <v>41</v>
      </c>
      <c r="AB230" s="3" t="s">
        <v>1131</v>
      </c>
      <c r="AC230">
        <f>COUNTIF(Sheet1!$A$1:$A$50,Firms!A230)</f>
        <v>0</v>
      </c>
    </row>
    <row r="231" spans="1:30" ht="15" hidden="1" customHeight="1" x14ac:dyDescent="0.45">
      <c r="A231" s="2" t="s">
        <v>1132</v>
      </c>
      <c r="B231" s="2" t="s">
        <v>29</v>
      </c>
      <c r="C231" s="2"/>
      <c r="D231" s="2"/>
      <c r="E231" s="2" t="s">
        <v>1133</v>
      </c>
      <c r="F231" s="2" t="s">
        <v>81</v>
      </c>
      <c r="G231" s="2"/>
      <c r="H231" s="2"/>
      <c r="I231" s="2"/>
      <c r="J231" s="2"/>
      <c r="K231" s="2"/>
      <c r="L231" s="2"/>
      <c r="M231" s="2"/>
      <c r="N231" s="2"/>
      <c r="O231" s="2" t="s">
        <v>294</v>
      </c>
      <c r="P231" s="2" t="s">
        <v>73</v>
      </c>
      <c r="Q231" s="2"/>
      <c r="R231" s="2"/>
      <c r="S231" s="2"/>
      <c r="T231" s="2" t="s">
        <v>752</v>
      </c>
      <c r="U231" s="2" t="s">
        <v>35</v>
      </c>
      <c r="V231" s="2"/>
      <c r="W231" s="2"/>
      <c r="X231" s="2" t="s">
        <v>38</v>
      </c>
      <c r="Y231" s="2" t="s">
        <v>39</v>
      </c>
      <c r="Z231" s="2" t="s">
        <v>40</v>
      </c>
      <c r="AA231" s="2" t="s">
        <v>41</v>
      </c>
      <c r="AB231" s="3" t="s">
        <v>1134</v>
      </c>
      <c r="AC231">
        <f>COUNTIF(Sheet1!$A$1:$A$50,Firms!A231)</f>
        <v>0</v>
      </c>
    </row>
    <row r="232" spans="1:30" ht="15" hidden="1" customHeight="1" x14ac:dyDescent="0.45">
      <c r="A232" s="4" t="s">
        <v>1135</v>
      </c>
      <c r="B232" s="4" t="s">
        <v>29</v>
      </c>
      <c r="C232" s="4"/>
      <c r="D232" s="4"/>
      <c r="E232" s="4" t="s">
        <v>1136</v>
      </c>
      <c r="F232" s="4"/>
      <c r="G232" s="4"/>
      <c r="H232" s="4"/>
      <c r="I232" s="4"/>
      <c r="J232" s="4"/>
      <c r="K232" s="4"/>
      <c r="L232" s="4"/>
      <c r="M232" s="4"/>
      <c r="N232" s="4"/>
      <c r="O232" s="4"/>
      <c r="P232" s="4" t="s">
        <v>116</v>
      </c>
      <c r="Q232" s="4"/>
      <c r="R232" s="4"/>
      <c r="S232" s="4"/>
      <c r="T232" s="4" t="s">
        <v>1137</v>
      </c>
      <c r="U232" s="4" t="s">
        <v>35</v>
      </c>
      <c r="V232" s="4"/>
      <c r="W232" s="4"/>
      <c r="X232" s="4" t="s">
        <v>47</v>
      </c>
      <c r="Y232" s="4" t="s">
        <v>48</v>
      </c>
      <c r="Z232" s="4" t="s">
        <v>40</v>
      </c>
      <c r="AA232" s="4" t="s">
        <v>41</v>
      </c>
      <c r="AB232" s="5" t="s">
        <v>1138</v>
      </c>
      <c r="AC232">
        <f>COUNTIF(Sheet1!$A$1:$A$50,Firms!A232)</f>
        <v>0</v>
      </c>
    </row>
    <row r="233" spans="1:30" ht="15" hidden="1" customHeight="1" x14ac:dyDescent="0.45">
      <c r="A233" s="6" t="s">
        <v>1139</v>
      </c>
      <c r="B233" s="6" t="s">
        <v>29</v>
      </c>
      <c r="C233" s="6" t="s">
        <v>1140</v>
      </c>
      <c r="D233" s="6" t="s">
        <v>982</v>
      </c>
      <c r="E233" s="6" t="s">
        <v>1141</v>
      </c>
      <c r="F233" s="6" t="s">
        <v>81</v>
      </c>
      <c r="G233" s="6"/>
      <c r="H233" s="6"/>
      <c r="I233" s="6" t="s">
        <v>125</v>
      </c>
      <c r="J233" s="6" t="s">
        <v>192</v>
      </c>
      <c r="K233" s="6"/>
      <c r="L233" s="6"/>
      <c r="M233" s="6"/>
      <c r="N233" s="6"/>
      <c r="O233" s="6" t="s">
        <v>82</v>
      </c>
      <c r="P233" s="6" t="s">
        <v>111</v>
      </c>
      <c r="Q233" s="6"/>
      <c r="R233" s="6"/>
      <c r="S233" s="6"/>
      <c r="T233" s="6"/>
      <c r="U233" s="6" t="s">
        <v>35</v>
      </c>
      <c r="V233" s="6"/>
      <c r="W233" s="6"/>
      <c r="X233" s="6" t="s">
        <v>63</v>
      </c>
      <c r="Y233" s="6" t="s">
        <v>39</v>
      </c>
      <c r="Z233" s="6" t="s">
        <v>40</v>
      </c>
      <c r="AA233" s="6" t="s">
        <v>41</v>
      </c>
      <c r="AB233" s="7" t="s">
        <v>1142</v>
      </c>
      <c r="AC233">
        <f>COUNTIF(Sheet1!$A$1:$A$50,Firms!A233)</f>
        <v>0</v>
      </c>
    </row>
    <row r="234" spans="1:30" ht="15" hidden="1" customHeight="1" x14ac:dyDescent="0.45">
      <c r="A234" s="2" t="s">
        <v>1143</v>
      </c>
      <c r="B234" s="2" t="s">
        <v>29</v>
      </c>
      <c r="C234" s="2" t="s">
        <v>132</v>
      </c>
      <c r="D234" s="2" t="s">
        <v>163</v>
      </c>
      <c r="E234" s="2" t="s">
        <v>1144</v>
      </c>
      <c r="F234" s="2" t="s">
        <v>31</v>
      </c>
      <c r="G234" s="2"/>
      <c r="H234" s="2"/>
      <c r="I234" s="2"/>
      <c r="J234" s="2"/>
      <c r="K234" s="2"/>
      <c r="L234" s="2"/>
      <c r="M234" s="2"/>
      <c r="N234" s="2"/>
      <c r="O234" s="2" t="s">
        <v>32</v>
      </c>
      <c r="P234" s="2" t="s">
        <v>279</v>
      </c>
      <c r="Q234" s="2"/>
      <c r="R234" s="2"/>
      <c r="S234" s="2"/>
      <c r="T234" s="2" t="s">
        <v>1145</v>
      </c>
      <c r="U234" s="2" t="s">
        <v>35</v>
      </c>
      <c r="V234" s="2" t="s">
        <v>247</v>
      </c>
      <c r="W234" s="2" t="s">
        <v>1146</v>
      </c>
      <c r="X234" s="2" t="s">
        <v>38</v>
      </c>
      <c r="Y234" s="2" t="s">
        <v>39</v>
      </c>
      <c r="Z234" s="2" t="s">
        <v>40</v>
      </c>
      <c r="AA234" s="2" t="s">
        <v>41</v>
      </c>
      <c r="AB234" s="3" t="s">
        <v>1147</v>
      </c>
      <c r="AC234">
        <f>COUNTIF(Sheet1!$A$1:$A$50,Firms!A234)</f>
        <v>0</v>
      </c>
    </row>
    <row r="235" spans="1:30" ht="15" customHeight="1" x14ac:dyDescent="0.45">
      <c r="A235" s="2" t="s">
        <v>1148</v>
      </c>
      <c r="B235" s="2" t="s">
        <v>29</v>
      </c>
      <c r="C235" s="2"/>
      <c r="D235" s="2"/>
      <c r="E235" s="2" t="s">
        <v>1149</v>
      </c>
      <c r="F235" s="2" t="s">
        <v>81</v>
      </c>
      <c r="G235" s="2"/>
      <c r="H235" s="2"/>
      <c r="I235" s="2"/>
      <c r="J235" s="2"/>
      <c r="K235" s="2"/>
      <c r="L235" s="2"/>
      <c r="M235" s="2"/>
      <c r="N235" s="2"/>
      <c r="O235" s="2" t="s">
        <v>32</v>
      </c>
      <c r="P235" s="2" t="s">
        <v>279</v>
      </c>
      <c r="Q235" s="2"/>
      <c r="R235" s="2"/>
      <c r="S235" s="2"/>
      <c r="T235" s="2" t="s">
        <v>1150</v>
      </c>
      <c r="U235" s="2" t="s">
        <v>35</v>
      </c>
      <c r="V235" s="2" t="s">
        <v>154</v>
      </c>
      <c r="W235" s="2"/>
      <c r="X235" s="2" t="s">
        <v>38</v>
      </c>
      <c r="Y235" s="2" t="s">
        <v>39</v>
      </c>
      <c r="Z235" s="2" t="s">
        <v>40</v>
      </c>
      <c r="AA235" s="2" t="s">
        <v>41</v>
      </c>
      <c r="AB235" s="3" t="s">
        <v>1151</v>
      </c>
      <c r="AC235">
        <f>COUNTIF(Sheet1!$A$1:$A$50,Firms!A235)</f>
        <v>1</v>
      </c>
      <c r="AD235" t="str">
        <f>SUBSTITUTE(AB235,"Seeded from CapIQ export. Numeric fields are regex first-pass — c","C")</f>
        <v>Crawler will confirm. capiq_description preserved for AI extraction fallback. | [extractor] LFM Capital founded 2014, focuses exclusively on lower middle market manufacturing companies. Explicit buyout strategy with add-on acquisition platform evident from portfolio. Fact sheet PDF referenced but not parsed: https://www.lfmcapital.com/s/24-01-12-LFM-One-Pager-vJG.pdf. HQ location not disclosed on provided pages. Extensive portfolio of control acquisitions with multiple add-on acquisitions per company indicates mature, active buyout fund.</v>
      </c>
    </row>
    <row r="236" spans="1:30" ht="15" hidden="1" customHeight="1" x14ac:dyDescent="0.45">
      <c r="A236" s="6" t="s">
        <v>1152</v>
      </c>
      <c r="B236" s="6" t="s">
        <v>29</v>
      </c>
      <c r="C236" s="6" t="s">
        <v>453</v>
      </c>
      <c r="D236" s="6" t="s">
        <v>1153</v>
      </c>
      <c r="E236" s="6" t="s">
        <v>1154</v>
      </c>
      <c r="F236" s="6" t="s">
        <v>31</v>
      </c>
      <c r="G236" s="6" t="s">
        <v>69</v>
      </c>
      <c r="H236" s="6" t="s">
        <v>70</v>
      </c>
      <c r="I236" s="6" t="s">
        <v>469</v>
      </c>
      <c r="J236" s="6" t="s">
        <v>69</v>
      </c>
      <c r="K236" s="6"/>
      <c r="L236" s="6"/>
      <c r="M236" s="6"/>
      <c r="N236" s="6"/>
      <c r="O236" s="6" t="s">
        <v>32</v>
      </c>
      <c r="P236" s="6" t="s">
        <v>88</v>
      </c>
      <c r="Q236" s="6"/>
      <c r="R236" s="6"/>
      <c r="S236" s="6"/>
      <c r="T236" s="6"/>
      <c r="U236" s="6" t="s">
        <v>35</v>
      </c>
      <c r="V236" s="6" t="s">
        <v>1155</v>
      </c>
      <c r="W236" s="6"/>
      <c r="X236" s="6" t="s">
        <v>63</v>
      </c>
      <c r="Y236" s="6" t="s">
        <v>39</v>
      </c>
      <c r="Z236" s="6" t="s">
        <v>40</v>
      </c>
      <c r="AA236" s="6" t="s">
        <v>41</v>
      </c>
      <c r="AB236" s="7" t="s">
        <v>1156</v>
      </c>
      <c r="AC236">
        <f>COUNTIF(Sheet1!$A$1:$A$50,Firms!A236)</f>
        <v>0</v>
      </c>
    </row>
    <row r="237" spans="1:30" ht="15" hidden="1" customHeight="1" x14ac:dyDescent="0.45">
      <c r="A237" s="6" t="s">
        <v>1157</v>
      </c>
      <c r="B237" s="6" t="s">
        <v>239</v>
      </c>
      <c r="C237" s="6"/>
      <c r="D237" s="6"/>
      <c r="E237" s="6" t="s">
        <v>1158</v>
      </c>
      <c r="F237" s="6" t="s">
        <v>81</v>
      </c>
      <c r="G237" s="6"/>
      <c r="H237" s="6"/>
      <c r="I237" s="6" t="s">
        <v>697</v>
      </c>
      <c r="J237" s="6" t="s">
        <v>69</v>
      </c>
      <c r="K237" s="6"/>
      <c r="L237" s="6"/>
      <c r="M237" s="6" t="s">
        <v>469</v>
      </c>
      <c r="N237" s="6" t="s">
        <v>54</v>
      </c>
      <c r="O237" s="6" t="s">
        <v>32</v>
      </c>
      <c r="P237" s="6" t="s">
        <v>484</v>
      </c>
      <c r="Q237" s="6" t="s">
        <v>1159</v>
      </c>
      <c r="R237" s="6"/>
      <c r="S237" s="6" t="s">
        <v>1160</v>
      </c>
      <c r="T237" s="6"/>
      <c r="U237" s="6"/>
      <c r="V237" s="6"/>
      <c r="W237" s="6"/>
      <c r="X237" s="6" t="s">
        <v>63</v>
      </c>
      <c r="Y237" s="6" t="s">
        <v>39</v>
      </c>
      <c r="Z237" s="6" t="s">
        <v>40</v>
      </c>
      <c r="AA237" s="6" t="s">
        <v>41</v>
      </c>
      <c r="AB237" s="7" t="s">
        <v>1161</v>
      </c>
      <c r="AC237">
        <f>COUNTIF(Sheet1!$A$1:$A$50,Firms!A237)</f>
        <v>0</v>
      </c>
    </row>
    <row r="238" spans="1:30" ht="15" hidden="1" customHeight="1" x14ac:dyDescent="0.45">
      <c r="A238" s="2" t="s">
        <v>1162</v>
      </c>
      <c r="B238" s="2" t="s">
        <v>29</v>
      </c>
      <c r="C238" s="2"/>
      <c r="D238" s="2"/>
      <c r="E238" s="2" t="s">
        <v>1163</v>
      </c>
      <c r="F238" s="2" t="s">
        <v>31</v>
      </c>
      <c r="G238" s="2"/>
      <c r="H238" s="2"/>
      <c r="I238" s="2"/>
      <c r="J238" s="2"/>
      <c r="K238" s="2"/>
      <c r="L238" s="2"/>
      <c r="M238" s="2"/>
      <c r="N238" s="2"/>
      <c r="O238" s="2" t="s">
        <v>32</v>
      </c>
      <c r="P238" s="2" t="s">
        <v>1164</v>
      </c>
      <c r="Q238" s="2"/>
      <c r="R238" s="2"/>
      <c r="S238" s="2"/>
      <c r="T238" s="2" t="s">
        <v>1165</v>
      </c>
      <c r="U238" s="2" t="s">
        <v>35</v>
      </c>
      <c r="V238" s="2"/>
      <c r="W238" s="2"/>
      <c r="X238" s="2" t="s">
        <v>38</v>
      </c>
      <c r="Y238" s="2" t="s">
        <v>39</v>
      </c>
      <c r="Z238" s="2" t="s">
        <v>40</v>
      </c>
      <c r="AA238" s="2" t="s">
        <v>41</v>
      </c>
      <c r="AB238" s="3" t="s">
        <v>1166</v>
      </c>
      <c r="AC238">
        <f>COUNTIF(Sheet1!$A$1:$A$50,Firms!A238)</f>
        <v>0</v>
      </c>
    </row>
    <row r="239" spans="1:30" ht="15" hidden="1" customHeight="1" x14ac:dyDescent="0.45">
      <c r="A239" s="6" t="s">
        <v>1167</v>
      </c>
      <c r="B239" s="6" t="s">
        <v>29</v>
      </c>
      <c r="C239" s="6"/>
      <c r="D239" s="6"/>
      <c r="E239" s="6" t="s">
        <v>1168</v>
      </c>
      <c r="F239" s="6"/>
      <c r="G239" s="6" t="s">
        <v>469</v>
      </c>
      <c r="H239" s="6" t="s">
        <v>192</v>
      </c>
      <c r="I239" s="6"/>
      <c r="J239" s="6"/>
      <c r="K239" s="6"/>
      <c r="L239" s="6"/>
      <c r="M239" s="6"/>
      <c r="N239" s="6"/>
      <c r="O239" s="6" t="s">
        <v>32</v>
      </c>
      <c r="P239" s="6" t="s">
        <v>105</v>
      </c>
      <c r="Q239" s="6"/>
      <c r="R239" s="6"/>
      <c r="S239" s="6"/>
      <c r="T239" s="6"/>
      <c r="U239" s="6" t="s">
        <v>35</v>
      </c>
      <c r="V239" s="6"/>
      <c r="W239" s="6"/>
      <c r="X239" s="6" t="s">
        <v>63</v>
      </c>
      <c r="Y239" s="6" t="s">
        <v>39</v>
      </c>
      <c r="Z239" s="6" t="s">
        <v>40</v>
      </c>
      <c r="AA239" s="6" t="s">
        <v>41</v>
      </c>
      <c r="AB239" s="7" t="s">
        <v>1169</v>
      </c>
      <c r="AC239">
        <f>COUNTIF(Sheet1!$A$1:$A$50,Firms!A239)</f>
        <v>0</v>
      </c>
    </row>
    <row r="240" spans="1:30" ht="15" hidden="1" customHeight="1" x14ac:dyDescent="0.45">
      <c r="A240" s="2" t="s">
        <v>1170</v>
      </c>
      <c r="B240" s="2" t="s">
        <v>29</v>
      </c>
      <c r="C240" s="2" t="s">
        <v>101</v>
      </c>
      <c r="D240" s="2" t="s">
        <v>151</v>
      </c>
      <c r="E240" s="2" t="s">
        <v>1171</v>
      </c>
      <c r="F240" s="2" t="s">
        <v>81</v>
      </c>
      <c r="G240" s="2"/>
      <c r="H240" s="2"/>
      <c r="I240" s="2"/>
      <c r="J240" s="2"/>
      <c r="K240" s="2"/>
      <c r="L240" s="2"/>
      <c r="M240" s="2"/>
      <c r="N240" s="2"/>
      <c r="O240" s="2" t="s">
        <v>32</v>
      </c>
      <c r="P240" s="2" t="s">
        <v>73</v>
      </c>
      <c r="Q240" s="2"/>
      <c r="R240" s="2"/>
      <c r="S240" s="2"/>
      <c r="T240" s="2"/>
      <c r="U240" s="2" t="s">
        <v>35</v>
      </c>
      <c r="V240" s="2"/>
      <c r="W240" s="2"/>
      <c r="X240" s="2" t="s">
        <v>38</v>
      </c>
      <c r="Y240" s="2" t="s">
        <v>39</v>
      </c>
      <c r="Z240" s="2" t="s">
        <v>40</v>
      </c>
      <c r="AA240" s="2" t="s">
        <v>41</v>
      </c>
      <c r="AB240" s="3" t="s">
        <v>1172</v>
      </c>
      <c r="AC240">
        <f>COUNTIF(Sheet1!$A$1:$A$50,Firms!A240)</f>
        <v>0</v>
      </c>
    </row>
    <row r="241" spans="1:29" ht="15" hidden="1" customHeight="1" x14ac:dyDescent="0.45">
      <c r="A241" s="4" t="s">
        <v>1173</v>
      </c>
      <c r="B241" s="4" t="s">
        <v>44</v>
      </c>
      <c r="C241" s="4"/>
      <c r="D241" s="4"/>
      <c r="E241" s="4" t="s">
        <v>1174</v>
      </c>
      <c r="F241" s="4"/>
      <c r="G241" s="4"/>
      <c r="H241" s="4"/>
      <c r="I241" s="4"/>
      <c r="J241" s="4"/>
      <c r="K241" s="4"/>
      <c r="L241" s="4"/>
      <c r="M241" s="4"/>
      <c r="N241" s="4"/>
      <c r="O241" s="4"/>
      <c r="P241" s="4" t="s">
        <v>396</v>
      </c>
      <c r="Q241" s="4"/>
      <c r="R241" s="4"/>
      <c r="S241" s="4"/>
      <c r="T241" s="4"/>
      <c r="U241" s="4" t="s">
        <v>35</v>
      </c>
      <c r="V241" s="4"/>
      <c r="W241" s="4"/>
      <c r="X241" s="4" t="s">
        <v>47</v>
      </c>
      <c r="Y241" s="4" t="s">
        <v>48</v>
      </c>
      <c r="Z241" s="4" t="s">
        <v>40</v>
      </c>
      <c r="AA241" s="4" t="s">
        <v>41</v>
      </c>
      <c r="AB241" s="5" t="s">
        <v>1175</v>
      </c>
      <c r="AC241">
        <f>COUNTIF(Sheet1!$A$1:$A$50,Firms!A241)</f>
        <v>0</v>
      </c>
    </row>
    <row r="242" spans="1:29" ht="15" hidden="1" customHeight="1" x14ac:dyDescent="0.45">
      <c r="A242" s="6" t="s">
        <v>1176</v>
      </c>
      <c r="B242" s="6" t="s">
        <v>29</v>
      </c>
      <c r="C242" s="6" t="s">
        <v>78</v>
      </c>
      <c r="D242" s="6" t="s">
        <v>923</v>
      </c>
      <c r="E242" s="6" t="s">
        <v>1177</v>
      </c>
      <c r="F242" s="6" t="s">
        <v>81</v>
      </c>
      <c r="G242" s="6"/>
      <c r="H242" s="6"/>
      <c r="I242" s="6" t="s">
        <v>125</v>
      </c>
      <c r="J242" s="6" t="s">
        <v>54</v>
      </c>
      <c r="K242" s="6"/>
      <c r="L242" s="6"/>
      <c r="M242" s="6"/>
      <c r="N242" s="6"/>
      <c r="O242" s="6" t="s">
        <v>32</v>
      </c>
      <c r="P242" s="6" t="s">
        <v>241</v>
      </c>
      <c r="Q242" s="6"/>
      <c r="R242" s="6"/>
      <c r="S242" s="6"/>
      <c r="T242" s="6"/>
      <c r="U242" s="6" t="s">
        <v>35</v>
      </c>
      <c r="V242" s="6"/>
      <c r="W242" s="6"/>
      <c r="X242" s="6" t="s">
        <v>63</v>
      </c>
      <c r="Y242" s="6" t="s">
        <v>39</v>
      </c>
      <c r="Z242" s="6" t="s">
        <v>40</v>
      </c>
      <c r="AA242" s="6" t="s">
        <v>41</v>
      </c>
      <c r="AB242" s="7" t="s">
        <v>1178</v>
      </c>
      <c r="AC242">
        <f>COUNTIF(Sheet1!$A$1:$A$50,Firms!A242)</f>
        <v>0</v>
      </c>
    </row>
    <row r="243" spans="1:29" ht="15" hidden="1" customHeight="1" x14ac:dyDescent="0.45">
      <c r="A243" s="2" t="s">
        <v>1179</v>
      </c>
      <c r="B243" s="2" t="s">
        <v>29</v>
      </c>
      <c r="C243" s="2" t="s">
        <v>331</v>
      </c>
      <c r="D243" s="2" t="s">
        <v>332</v>
      </c>
      <c r="E243" s="2" t="s">
        <v>1180</v>
      </c>
      <c r="F243" s="2" t="s">
        <v>31</v>
      </c>
      <c r="G243" s="2"/>
      <c r="H243" s="2"/>
      <c r="I243" s="2"/>
      <c r="J243" s="2"/>
      <c r="K243" s="2"/>
      <c r="L243" s="2"/>
      <c r="M243" s="2"/>
      <c r="N243" s="2"/>
      <c r="O243" s="2" t="s">
        <v>32</v>
      </c>
      <c r="P243" s="2" t="s">
        <v>253</v>
      </c>
      <c r="Q243" s="2"/>
      <c r="R243" s="2"/>
      <c r="S243" s="2"/>
      <c r="T243" s="2" t="s">
        <v>1181</v>
      </c>
      <c r="U243" s="2" t="s">
        <v>35</v>
      </c>
      <c r="V243" s="2" t="s">
        <v>1182</v>
      </c>
      <c r="W243" s="2"/>
      <c r="X243" s="2" t="s">
        <v>38</v>
      </c>
      <c r="Y243" s="2" t="s">
        <v>39</v>
      </c>
      <c r="Z243" s="2" t="s">
        <v>40</v>
      </c>
      <c r="AA243" s="2" t="s">
        <v>41</v>
      </c>
      <c r="AB243" s="3" t="s">
        <v>1183</v>
      </c>
      <c r="AC243">
        <f>COUNTIF(Sheet1!$A$1:$A$50,Firms!A243)</f>
        <v>0</v>
      </c>
    </row>
    <row r="244" spans="1:29" ht="15" hidden="1" customHeight="1" x14ac:dyDescent="0.45">
      <c r="A244" s="2" t="s">
        <v>1184</v>
      </c>
      <c r="B244" s="2" t="s">
        <v>29</v>
      </c>
      <c r="C244" s="2" t="s">
        <v>804</v>
      </c>
      <c r="D244" s="2" t="s">
        <v>805</v>
      </c>
      <c r="E244" s="2" t="s">
        <v>1185</v>
      </c>
      <c r="F244" s="2" t="s">
        <v>81</v>
      </c>
      <c r="G244" s="2"/>
      <c r="H244" s="2"/>
      <c r="I244" s="2"/>
      <c r="J244" s="2"/>
      <c r="K244" s="2"/>
      <c r="L244" s="2"/>
      <c r="M244" s="2"/>
      <c r="N244" s="2"/>
      <c r="O244" s="2" t="s">
        <v>32</v>
      </c>
      <c r="P244" s="2" t="s">
        <v>889</v>
      </c>
      <c r="Q244" s="2"/>
      <c r="R244" s="2"/>
      <c r="S244" s="2"/>
      <c r="T244" s="2"/>
      <c r="U244" s="2" t="s">
        <v>35</v>
      </c>
      <c r="V244" s="2"/>
      <c r="W244" s="2"/>
      <c r="X244" s="2" t="s">
        <v>38</v>
      </c>
      <c r="Y244" s="2" t="s">
        <v>39</v>
      </c>
      <c r="Z244" s="2" t="s">
        <v>40</v>
      </c>
      <c r="AA244" s="2" t="s">
        <v>41</v>
      </c>
      <c r="AB244" s="3" t="s">
        <v>1186</v>
      </c>
      <c r="AC244">
        <f>COUNTIF(Sheet1!$A$1:$A$50,Firms!A244)</f>
        <v>0</v>
      </c>
    </row>
    <row r="245" spans="1:29" ht="15" hidden="1" customHeight="1" x14ac:dyDescent="0.45">
      <c r="A245" s="2" t="s">
        <v>1187</v>
      </c>
      <c r="B245" s="2" t="s">
        <v>29</v>
      </c>
      <c r="C245" s="2"/>
      <c r="D245" s="2"/>
      <c r="E245" s="2" t="s">
        <v>1188</v>
      </c>
      <c r="F245" s="2"/>
      <c r="G245" s="2"/>
      <c r="H245" s="2"/>
      <c r="I245" s="2"/>
      <c r="J245" s="2"/>
      <c r="K245" s="2"/>
      <c r="L245" s="2"/>
      <c r="M245" s="2"/>
      <c r="N245" s="2"/>
      <c r="O245" s="2" t="s">
        <v>32</v>
      </c>
      <c r="P245" s="2" t="s">
        <v>111</v>
      </c>
      <c r="Q245" s="2"/>
      <c r="R245" s="2"/>
      <c r="S245" s="2"/>
      <c r="T245" s="2"/>
      <c r="U245" s="2" t="s">
        <v>35</v>
      </c>
      <c r="V245" s="2"/>
      <c r="W245" s="2"/>
      <c r="X245" s="2" t="s">
        <v>38</v>
      </c>
      <c r="Y245" s="2" t="s">
        <v>39</v>
      </c>
      <c r="Z245" s="2" t="s">
        <v>40</v>
      </c>
      <c r="AA245" s="2" t="s">
        <v>41</v>
      </c>
      <c r="AB245" s="3" t="s">
        <v>1189</v>
      </c>
      <c r="AC245">
        <f>COUNTIF(Sheet1!$A$1:$A$50,Firms!A245)</f>
        <v>0</v>
      </c>
    </row>
    <row r="246" spans="1:29" ht="15" hidden="1" customHeight="1" x14ac:dyDescent="0.45">
      <c r="A246" s="2" t="s">
        <v>1190</v>
      </c>
      <c r="B246" s="2" t="s">
        <v>29</v>
      </c>
      <c r="C246" s="2" t="s">
        <v>438</v>
      </c>
      <c r="D246" s="2" t="s">
        <v>439</v>
      </c>
      <c r="E246" s="2" t="s">
        <v>1191</v>
      </c>
      <c r="F246" s="2" t="s">
        <v>31</v>
      </c>
      <c r="G246" s="2"/>
      <c r="H246" s="2"/>
      <c r="I246" s="2"/>
      <c r="J246" s="2"/>
      <c r="K246" s="2"/>
      <c r="L246" s="2"/>
      <c r="M246" s="2"/>
      <c r="N246" s="2"/>
      <c r="O246" s="2" t="s">
        <v>32</v>
      </c>
      <c r="P246" s="2" t="s">
        <v>653</v>
      </c>
      <c r="Q246" s="2"/>
      <c r="R246" s="2"/>
      <c r="S246" s="2"/>
      <c r="T246" s="2" t="s">
        <v>786</v>
      </c>
      <c r="U246" s="2" t="s">
        <v>35</v>
      </c>
      <c r="V246" s="2"/>
      <c r="W246" s="2"/>
      <c r="X246" s="2" t="s">
        <v>38</v>
      </c>
      <c r="Y246" s="2" t="s">
        <v>39</v>
      </c>
      <c r="Z246" s="2" t="s">
        <v>40</v>
      </c>
      <c r="AA246" s="2" t="s">
        <v>41</v>
      </c>
      <c r="AB246" s="3" t="s">
        <v>1192</v>
      </c>
      <c r="AC246">
        <f>COUNTIF(Sheet1!$A$1:$A$50,Firms!A246)</f>
        <v>0</v>
      </c>
    </row>
    <row r="247" spans="1:29" ht="15" hidden="1" customHeight="1" x14ac:dyDescent="0.45">
      <c r="A247" s="2" t="s">
        <v>1193</v>
      </c>
      <c r="B247" s="2" t="s">
        <v>29</v>
      </c>
      <c r="C247" s="2"/>
      <c r="D247" s="2" t="s">
        <v>337</v>
      </c>
      <c r="E247" s="2" t="s">
        <v>1194</v>
      </c>
      <c r="F247" s="2" t="s">
        <v>81</v>
      </c>
      <c r="G247" s="2"/>
      <c r="H247" s="2"/>
      <c r="I247" s="2"/>
      <c r="J247" s="2"/>
      <c r="K247" s="2"/>
      <c r="L247" s="2"/>
      <c r="M247" s="2"/>
      <c r="N247" s="2"/>
      <c r="O247" s="2" t="s">
        <v>810</v>
      </c>
      <c r="P247" s="2" t="s">
        <v>73</v>
      </c>
      <c r="Q247" s="2"/>
      <c r="R247" s="2"/>
      <c r="S247" s="2"/>
      <c r="T247" s="2" t="s">
        <v>1195</v>
      </c>
      <c r="U247" s="2" t="s">
        <v>35</v>
      </c>
      <c r="V247" s="2"/>
      <c r="W247" s="2"/>
      <c r="X247" s="2" t="s">
        <v>38</v>
      </c>
      <c r="Y247" s="2" t="s">
        <v>39</v>
      </c>
      <c r="Z247" s="2" t="s">
        <v>40</v>
      </c>
      <c r="AA247" s="2" t="s">
        <v>41</v>
      </c>
      <c r="AB247" s="3" t="s">
        <v>1196</v>
      </c>
      <c r="AC247">
        <f>COUNTIF(Sheet1!$A$1:$A$50,Firms!A247)</f>
        <v>0</v>
      </c>
    </row>
    <row r="248" spans="1:29" ht="15" hidden="1" customHeight="1" x14ac:dyDescent="0.45">
      <c r="A248" s="4" t="s">
        <v>1197</v>
      </c>
      <c r="B248" s="4" t="s">
        <v>44</v>
      </c>
      <c r="C248" s="4"/>
      <c r="D248" s="4"/>
      <c r="E248" s="4" t="s">
        <v>1198</v>
      </c>
      <c r="F248" s="4"/>
      <c r="G248" s="4"/>
      <c r="H248" s="4"/>
      <c r="I248" s="4"/>
      <c r="J248" s="4"/>
      <c r="K248" s="4"/>
      <c r="L248" s="4"/>
      <c r="M248" s="4"/>
      <c r="N248" s="4"/>
      <c r="O248" s="4"/>
      <c r="P248" s="4" t="s">
        <v>479</v>
      </c>
      <c r="Q248" s="4"/>
      <c r="R248" s="4"/>
      <c r="S248" s="4"/>
      <c r="T248" s="4"/>
      <c r="U248" s="4" t="s">
        <v>35</v>
      </c>
      <c r="V248" s="4"/>
      <c r="W248" s="4"/>
      <c r="X248" s="4" t="s">
        <v>47</v>
      </c>
      <c r="Y248" s="4" t="s">
        <v>48</v>
      </c>
      <c r="Z248" s="4" t="s">
        <v>40</v>
      </c>
      <c r="AA248" s="4" t="s">
        <v>41</v>
      </c>
      <c r="AB248" s="5" t="s">
        <v>1199</v>
      </c>
      <c r="AC248">
        <f>COUNTIF(Sheet1!$A$1:$A$50,Firms!A248)</f>
        <v>0</v>
      </c>
    </row>
    <row r="249" spans="1:29" ht="15" hidden="1" customHeight="1" x14ac:dyDescent="0.45">
      <c r="A249" s="4" t="s">
        <v>1200</v>
      </c>
      <c r="B249" s="4" t="s">
        <v>29</v>
      </c>
      <c r="C249" s="4"/>
      <c r="D249" s="4"/>
      <c r="E249" s="4" t="s">
        <v>1201</v>
      </c>
      <c r="F249" s="4"/>
      <c r="G249" s="4"/>
      <c r="H249" s="4"/>
      <c r="I249" s="4"/>
      <c r="J249" s="4"/>
      <c r="K249" s="4"/>
      <c r="L249" s="4"/>
      <c r="M249" s="4"/>
      <c r="N249" s="4"/>
      <c r="O249" s="4"/>
      <c r="P249" s="4" t="s">
        <v>83</v>
      </c>
      <c r="Q249" s="4"/>
      <c r="R249" s="4"/>
      <c r="S249" s="4"/>
      <c r="T249" s="4"/>
      <c r="U249" s="4" t="s">
        <v>35</v>
      </c>
      <c r="V249" s="4"/>
      <c r="W249" s="4"/>
      <c r="X249" s="4" t="s">
        <v>47</v>
      </c>
      <c r="Y249" s="4" t="s">
        <v>48</v>
      </c>
      <c r="Z249" s="4" t="s">
        <v>40</v>
      </c>
      <c r="AA249" s="4" t="s">
        <v>41</v>
      </c>
      <c r="AB249" s="5" t="s">
        <v>1202</v>
      </c>
      <c r="AC249">
        <f>COUNTIF(Sheet1!$A$1:$A$50,Firms!A249)</f>
        <v>0</v>
      </c>
    </row>
    <row r="250" spans="1:29" ht="15" hidden="1" customHeight="1" x14ac:dyDescent="0.45">
      <c r="A250" s="4" t="s">
        <v>1203</v>
      </c>
      <c r="B250" s="4" t="s">
        <v>29</v>
      </c>
      <c r="C250" s="4"/>
      <c r="D250" s="4"/>
      <c r="E250" s="4" t="s">
        <v>1204</v>
      </c>
      <c r="F250" s="4"/>
      <c r="G250" s="4"/>
      <c r="H250" s="4"/>
      <c r="I250" s="4"/>
      <c r="J250" s="4"/>
      <c r="K250" s="4"/>
      <c r="L250" s="4"/>
      <c r="M250" s="4"/>
      <c r="N250" s="4"/>
      <c r="O250" s="4"/>
      <c r="P250" s="4" t="s">
        <v>1205</v>
      </c>
      <c r="Q250" s="4"/>
      <c r="R250" s="4"/>
      <c r="S250" s="4"/>
      <c r="T250" s="4"/>
      <c r="U250" s="4" t="s">
        <v>35</v>
      </c>
      <c r="V250" s="4"/>
      <c r="W250" s="4"/>
      <c r="X250" s="4" t="s">
        <v>47</v>
      </c>
      <c r="Y250" s="4" t="s">
        <v>48</v>
      </c>
      <c r="Z250" s="4" t="s">
        <v>40</v>
      </c>
      <c r="AA250" s="4" t="s">
        <v>41</v>
      </c>
      <c r="AB250" s="5" t="s">
        <v>1206</v>
      </c>
      <c r="AC250">
        <f>COUNTIF(Sheet1!$A$1:$A$50,Firms!A250)</f>
        <v>0</v>
      </c>
    </row>
    <row r="251" spans="1:29" ht="15" hidden="1" customHeight="1" x14ac:dyDescent="0.45">
      <c r="A251" s="2" t="s">
        <v>1207</v>
      </c>
      <c r="B251" s="2" t="s">
        <v>29</v>
      </c>
      <c r="C251" s="2" t="s">
        <v>101</v>
      </c>
      <c r="D251" s="2" t="s">
        <v>557</v>
      </c>
      <c r="E251" s="2" t="s">
        <v>1208</v>
      </c>
      <c r="F251" s="2" t="s">
        <v>81</v>
      </c>
      <c r="G251" s="2"/>
      <c r="H251" s="2"/>
      <c r="I251" s="2"/>
      <c r="J251" s="2"/>
      <c r="K251" s="2"/>
      <c r="L251" s="2"/>
      <c r="M251" s="2"/>
      <c r="N251" s="2"/>
      <c r="O251" s="2" t="s">
        <v>32</v>
      </c>
      <c r="P251" s="2" t="s">
        <v>105</v>
      </c>
      <c r="Q251" s="2"/>
      <c r="R251" s="2"/>
      <c r="S251" s="2"/>
      <c r="T251" s="2" t="s">
        <v>1209</v>
      </c>
      <c r="U251" s="2" t="s">
        <v>35</v>
      </c>
      <c r="V251" s="2" t="s">
        <v>1210</v>
      </c>
      <c r="W251" s="2"/>
      <c r="X251" s="2" t="s">
        <v>38</v>
      </c>
      <c r="Y251" s="2" t="s">
        <v>39</v>
      </c>
      <c r="Z251" s="2" t="s">
        <v>40</v>
      </c>
      <c r="AA251" s="2" t="s">
        <v>41</v>
      </c>
      <c r="AB251" s="3" t="s">
        <v>1211</v>
      </c>
      <c r="AC251">
        <f>COUNTIF(Sheet1!$A$1:$A$50,Firms!A251)</f>
        <v>0</v>
      </c>
    </row>
    <row r="252" spans="1:29" ht="15" hidden="1" customHeight="1" x14ac:dyDescent="0.45">
      <c r="A252" s="6" t="s">
        <v>1212</v>
      </c>
      <c r="B252" s="6" t="s">
        <v>29</v>
      </c>
      <c r="C252" s="6" t="s">
        <v>272</v>
      </c>
      <c r="D252" s="6" t="s">
        <v>273</v>
      </c>
      <c r="E252" s="6" t="s">
        <v>1213</v>
      </c>
      <c r="F252" s="6" t="s">
        <v>31</v>
      </c>
      <c r="G252" s="6"/>
      <c r="H252" s="6"/>
      <c r="I252" s="6" t="s">
        <v>125</v>
      </c>
      <c r="J252" s="6" t="s">
        <v>54</v>
      </c>
      <c r="K252" s="6"/>
      <c r="L252" s="6"/>
      <c r="M252" s="6" t="s">
        <v>192</v>
      </c>
      <c r="N252" s="6" t="s">
        <v>59</v>
      </c>
      <c r="O252" s="6" t="s">
        <v>82</v>
      </c>
      <c r="P252" s="6" t="s">
        <v>857</v>
      </c>
      <c r="Q252" s="6"/>
      <c r="R252" s="6"/>
      <c r="S252" s="6"/>
      <c r="T252" s="6" t="s">
        <v>1214</v>
      </c>
      <c r="U252" s="6" t="s">
        <v>35</v>
      </c>
      <c r="V252" s="6" t="s">
        <v>947</v>
      </c>
      <c r="W252" s="6"/>
      <c r="X252" s="6" t="s">
        <v>63</v>
      </c>
      <c r="Y252" s="6" t="s">
        <v>39</v>
      </c>
      <c r="Z252" s="6" t="s">
        <v>40</v>
      </c>
      <c r="AA252" s="6" t="s">
        <v>41</v>
      </c>
      <c r="AB252" s="7" t="s">
        <v>1215</v>
      </c>
      <c r="AC252">
        <f>COUNTIF(Sheet1!$A$1:$A$50,Firms!A252)</f>
        <v>0</v>
      </c>
    </row>
    <row r="253" spans="1:29" ht="15" hidden="1" customHeight="1" x14ac:dyDescent="0.45">
      <c r="A253" s="6" t="s">
        <v>1216</v>
      </c>
      <c r="B253" s="6" t="s">
        <v>29</v>
      </c>
      <c r="C253" s="6" t="s">
        <v>1217</v>
      </c>
      <c r="D253" s="6" t="s">
        <v>1218</v>
      </c>
      <c r="E253" s="6" t="s">
        <v>1219</v>
      </c>
      <c r="F253" s="6" t="s">
        <v>31</v>
      </c>
      <c r="G253" s="6" t="s">
        <v>135</v>
      </c>
      <c r="H253" s="6" t="s">
        <v>54</v>
      </c>
      <c r="I253" s="6"/>
      <c r="J253" s="6"/>
      <c r="K253" s="6"/>
      <c r="L253" s="6"/>
      <c r="M253" s="6" t="s">
        <v>1220</v>
      </c>
      <c r="N253" s="6"/>
      <c r="O253" s="6" t="s">
        <v>32</v>
      </c>
      <c r="P253" s="6" t="s">
        <v>279</v>
      </c>
      <c r="Q253" s="6"/>
      <c r="R253" s="6"/>
      <c r="S253" s="6" t="s">
        <v>1221</v>
      </c>
      <c r="T253" s="6"/>
      <c r="U253" s="6"/>
      <c r="V253" s="6"/>
      <c r="W253" s="6"/>
      <c r="X253" s="6" t="s">
        <v>63</v>
      </c>
      <c r="Y253" s="6" t="s">
        <v>39</v>
      </c>
      <c r="Z253" s="6" t="s">
        <v>40</v>
      </c>
      <c r="AA253" s="6" t="s">
        <v>41</v>
      </c>
      <c r="AB253" s="7" t="s">
        <v>1222</v>
      </c>
      <c r="AC253">
        <f>COUNTIF(Sheet1!$A$1:$A$50,Firms!A253)</f>
        <v>0</v>
      </c>
    </row>
    <row r="254" spans="1:29" ht="15" hidden="1" customHeight="1" x14ac:dyDescent="0.45">
      <c r="A254" s="6" t="s">
        <v>1223</v>
      </c>
      <c r="B254" s="6" t="s">
        <v>29</v>
      </c>
      <c r="C254" s="6"/>
      <c r="D254" s="6"/>
      <c r="E254" s="6" t="s">
        <v>1224</v>
      </c>
      <c r="F254" s="6" t="s">
        <v>31</v>
      </c>
      <c r="G254" s="6" t="s">
        <v>70</v>
      </c>
      <c r="H254" s="6" t="s">
        <v>136</v>
      </c>
      <c r="I254" s="6" t="s">
        <v>469</v>
      </c>
      <c r="J254" s="6"/>
      <c r="K254" s="6"/>
      <c r="L254" s="6"/>
      <c r="M254" s="6"/>
      <c r="N254" s="6"/>
      <c r="O254" s="6" t="s">
        <v>82</v>
      </c>
      <c r="P254" s="6" t="s">
        <v>46</v>
      </c>
      <c r="Q254" s="6"/>
      <c r="R254" s="6"/>
      <c r="S254" s="6"/>
      <c r="T254" s="6"/>
      <c r="U254" s="6" t="s">
        <v>35</v>
      </c>
      <c r="V254" s="6"/>
      <c r="W254" s="6"/>
      <c r="X254" s="6" t="s">
        <v>63</v>
      </c>
      <c r="Y254" s="6" t="s">
        <v>39</v>
      </c>
      <c r="Z254" s="6" t="s">
        <v>40</v>
      </c>
      <c r="AA254" s="6" t="s">
        <v>41</v>
      </c>
      <c r="AB254" s="7" t="s">
        <v>1225</v>
      </c>
      <c r="AC254">
        <f>COUNTIF(Sheet1!$A$1:$A$50,Firms!A254)</f>
        <v>0</v>
      </c>
    </row>
    <row r="255" spans="1:29" ht="15" hidden="1" customHeight="1" x14ac:dyDescent="0.45">
      <c r="A255" s="4" t="s">
        <v>1226</v>
      </c>
      <c r="B255" s="4" t="s">
        <v>44</v>
      </c>
      <c r="C255" s="4"/>
      <c r="D255" s="4"/>
      <c r="E255" s="4" t="s">
        <v>1227</v>
      </c>
      <c r="F255" s="4"/>
      <c r="G255" s="4"/>
      <c r="H255" s="4"/>
      <c r="I255" s="4"/>
      <c r="J255" s="4"/>
      <c r="K255" s="4"/>
      <c r="L255" s="4"/>
      <c r="M255" s="4"/>
      <c r="N255" s="4"/>
      <c r="O255" s="4"/>
      <c r="P255" s="4"/>
      <c r="Q255" s="4"/>
      <c r="R255" s="4"/>
      <c r="S255" s="4"/>
      <c r="T255" s="4" t="s">
        <v>1228</v>
      </c>
      <c r="U255" s="4" t="s">
        <v>35</v>
      </c>
      <c r="V255" s="4"/>
      <c r="W255" s="4"/>
      <c r="X255" s="4" t="s">
        <v>47</v>
      </c>
      <c r="Y255" s="4" t="s">
        <v>48</v>
      </c>
      <c r="Z255" s="4" t="s">
        <v>40</v>
      </c>
      <c r="AA255" s="4" t="s">
        <v>41</v>
      </c>
      <c r="AB255" s="5" t="s">
        <v>1229</v>
      </c>
      <c r="AC255">
        <f>COUNTIF(Sheet1!$A$1:$A$50,Firms!A255)</f>
        <v>0</v>
      </c>
    </row>
    <row r="256" spans="1:29" ht="15" hidden="1" customHeight="1" x14ac:dyDescent="0.45">
      <c r="A256" s="2" t="s">
        <v>1230</v>
      </c>
      <c r="B256" s="2" t="s">
        <v>29</v>
      </c>
      <c r="C256" s="2" t="s">
        <v>272</v>
      </c>
      <c r="D256" s="2" t="s">
        <v>273</v>
      </c>
      <c r="E256" s="2" t="s">
        <v>1231</v>
      </c>
      <c r="F256" s="2" t="s">
        <v>81</v>
      </c>
      <c r="G256" s="2"/>
      <c r="H256" s="2"/>
      <c r="I256" s="2"/>
      <c r="J256" s="2"/>
      <c r="K256" s="2"/>
      <c r="L256" s="2"/>
      <c r="M256" s="2"/>
      <c r="N256" s="2"/>
      <c r="O256" s="2" t="s">
        <v>32</v>
      </c>
      <c r="P256" s="2" t="s">
        <v>1232</v>
      </c>
      <c r="Q256" s="2"/>
      <c r="R256" s="2"/>
      <c r="S256" s="2"/>
      <c r="T256" s="2"/>
      <c r="U256" s="2" t="s">
        <v>35</v>
      </c>
      <c r="V256" s="2"/>
      <c r="W256" s="2"/>
      <c r="X256" s="2" t="s">
        <v>38</v>
      </c>
      <c r="Y256" s="2" t="s">
        <v>39</v>
      </c>
      <c r="Z256" s="2" t="s">
        <v>40</v>
      </c>
      <c r="AA256" s="2" t="s">
        <v>41</v>
      </c>
      <c r="AB256" s="3" t="s">
        <v>1233</v>
      </c>
      <c r="AC256">
        <f>COUNTIF(Sheet1!$A$1:$A$50,Firms!A256)</f>
        <v>0</v>
      </c>
    </row>
    <row r="257" spans="1:30" ht="15" hidden="1" customHeight="1" x14ac:dyDescent="0.45">
      <c r="A257" s="2" t="s">
        <v>1234</v>
      </c>
      <c r="B257" s="2" t="s">
        <v>29</v>
      </c>
      <c r="C257" s="2"/>
      <c r="D257" s="2"/>
      <c r="E257" s="2" t="s">
        <v>1235</v>
      </c>
      <c r="F257" s="2"/>
      <c r="G257" s="2"/>
      <c r="H257" s="2"/>
      <c r="I257" s="2"/>
      <c r="J257" s="2"/>
      <c r="K257" s="2"/>
      <c r="L257" s="2"/>
      <c r="M257" s="2"/>
      <c r="N257" s="2"/>
      <c r="O257" s="2"/>
      <c r="P257" s="2" t="s">
        <v>105</v>
      </c>
      <c r="Q257" s="2"/>
      <c r="R257" s="2"/>
      <c r="S257" s="2"/>
      <c r="T257" s="2" t="s">
        <v>1236</v>
      </c>
      <c r="U257" s="2" t="s">
        <v>35</v>
      </c>
      <c r="V257" s="2"/>
      <c r="W257" s="2" t="s">
        <v>1237</v>
      </c>
      <c r="X257" s="2" t="s">
        <v>38</v>
      </c>
      <c r="Y257" s="2" t="s">
        <v>39</v>
      </c>
      <c r="Z257" s="2" t="s">
        <v>40</v>
      </c>
      <c r="AA257" s="2" t="s">
        <v>41</v>
      </c>
      <c r="AB257" s="3" t="s">
        <v>1238</v>
      </c>
      <c r="AC257">
        <f>COUNTIF(Sheet1!$A$1:$A$50,Firms!A257)</f>
        <v>0</v>
      </c>
    </row>
    <row r="258" spans="1:30" ht="15" customHeight="1" x14ac:dyDescent="0.45">
      <c r="A258" s="6" t="s">
        <v>1239</v>
      </c>
      <c r="B258" s="6" t="s">
        <v>29</v>
      </c>
      <c r="C258" s="6" t="s">
        <v>101</v>
      </c>
      <c r="D258" s="6" t="s">
        <v>557</v>
      </c>
      <c r="E258" s="6" t="s">
        <v>1240</v>
      </c>
      <c r="F258" s="6" t="s">
        <v>81</v>
      </c>
      <c r="G258" s="6" t="s">
        <v>70</v>
      </c>
      <c r="H258" s="6" t="s">
        <v>456</v>
      </c>
      <c r="I258" s="6" t="s">
        <v>69</v>
      </c>
      <c r="J258" s="6" t="s">
        <v>70</v>
      </c>
      <c r="K258" s="6"/>
      <c r="L258" s="6"/>
      <c r="M258" s="6" t="s">
        <v>70</v>
      </c>
      <c r="N258" s="6" t="s">
        <v>572</v>
      </c>
      <c r="O258" s="6" t="s">
        <v>193</v>
      </c>
      <c r="P258" s="6" t="s">
        <v>46</v>
      </c>
      <c r="Q258" s="6"/>
      <c r="R258" s="6"/>
      <c r="S258" s="6"/>
      <c r="T258" s="6" t="s">
        <v>1241</v>
      </c>
      <c r="U258" s="6" t="s">
        <v>35</v>
      </c>
      <c r="V258" s="6" t="s">
        <v>1242</v>
      </c>
      <c r="W258" s="6"/>
      <c r="X258" s="6" t="s">
        <v>63</v>
      </c>
      <c r="Y258" s="6" t="s">
        <v>39</v>
      </c>
      <c r="Z258" s="6" t="s">
        <v>40</v>
      </c>
      <c r="AA258" s="6" t="s">
        <v>41</v>
      </c>
      <c r="AB258" s="7" t="s">
        <v>1243</v>
      </c>
      <c r="AC258">
        <f>COUNTIF(Sheet1!$A$1:$A$50,Firms!A258)</f>
        <v>1</v>
      </c>
      <c r="AD258" t="str">
        <f>SUBSTITUTE(AB258,"Seeded from CapIQ export. Numeric fields are regex first-pass — c","C")</f>
        <v>Crawler will confirm. capiq_description preserved for AI extraction fallback. | [extractor] PE firm focused exclusively on consumer sector with six defined investment areas: Personal Care &amp; Beauty, E-commerce &amp; Digitally Enabled, Multi Unit &amp; Consumer Services, Enthusiast &amp; Lifestyle, Food/Beverage/Wellness, and Consumer Value Chain. Explicit investment criteria stated for revenue ($50-500M+), EBITDA ($5-50M+), and check size ($50-250M+). Invests in both minority and majority positions with conservative leverage approach. Recent deals include Stellar Snacks (Mar 2026) and exit of Not Your Mother's (Mar 2026). HQ in San Francisco with additional office in Charlotte, NC. $3.5B AUM as of Dec 31, 2025.</v>
      </c>
    </row>
    <row r="259" spans="1:30" ht="15" hidden="1" customHeight="1" x14ac:dyDescent="0.45">
      <c r="A259" s="2" t="s">
        <v>1244</v>
      </c>
      <c r="B259" s="2" t="s">
        <v>29</v>
      </c>
      <c r="C259" s="2"/>
      <c r="D259" s="2"/>
      <c r="E259" s="2" t="s">
        <v>1245</v>
      </c>
      <c r="F259" s="2" t="s">
        <v>81</v>
      </c>
      <c r="G259" s="2"/>
      <c r="H259" s="2"/>
      <c r="I259" s="2"/>
      <c r="J259" s="2"/>
      <c r="K259" s="2"/>
      <c r="L259" s="2"/>
      <c r="M259" s="2"/>
      <c r="N259" s="2"/>
      <c r="O259" s="2" t="s">
        <v>32</v>
      </c>
      <c r="P259" s="2" t="s">
        <v>1000</v>
      </c>
      <c r="Q259" s="2"/>
      <c r="R259" s="2"/>
      <c r="S259" s="2"/>
      <c r="T259" s="2" t="s">
        <v>98</v>
      </c>
      <c r="U259" s="2" t="s">
        <v>35</v>
      </c>
      <c r="V259" s="2"/>
      <c r="W259" s="2"/>
      <c r="X259" s="2" t="s">
        <v>38</v>
      </c>
      <c r="Y259" s="2" t="s">
        <v>39</v>
      </c>
      <c r="Z259" s="2" t="s">
        <v>40</v>
      </c>
      <c r="AA259" s="2" t="s">
        <v>41</v>
      </c>
      <c r="AB259" s="3" t="s">
        <v>1246</v>
      </c>
      <c r="AC259">
        <f>COUNTIF(Sheet1!$A$1:$A$50,Firms!A259)</f>
        <v>0</v>
      </c>
    </row>
    <row r="260" spans="1:30" ht="15" hidden="1" customHeight="1" x14ac:dyDescent="0.45">
      <c r="A260" s="4" t="s">
        <v>1247</v>
      </c>
      <c r="B260" s="4" t="s">
        <v>44</v>
      </c>
      <c r="C260" s="4"/>
      <c r="D260" s="4"/>
      <c r="E260" s="4" t="s">
        <v>1248</v>
      </c>
      <c r="F260" s="4"/>
      <c r="G260" s="4"/>
      <c r="H260" s="4"/>
      <c r="I260" s="4"/>
      <c r="J260" s="4"/>
      <c r="K260" s="4"/>
      <c r="L260" s="4"/>
      <c r="M260" s="4"/>
      <c r="N260" s="4"/>
      <c r="O260" s="4"/>
      <c r="P260" s="4"/>
      <c r="Q260" s="4"/>
      <c r="R260" s="4"/>
      <c r="S260" s="4"/>
      <c r="T260" s="4"/>
      <c r="U260" s="4"/>
      <c r="V260" s="4"/>
      <c r="W260" s="4"/>
      <c r="X260" s="4" t="s">
        <v>47</v>
      </c>
      <c r="Y260" s="4" t="s">
        <v>48</v>
      </c>
      <c r="Z260" s="4" t="s">
        <v>40</v>
      </c>
      <c r="AA260" s="4" t="s">
        <v>41</v>
      </c>
      <c r="AB260" s="5" t="s">
        <v>1249</v>
      </c>
      <c r="AC260">
        <f>COUNTIF(Sheet1!$A$1:$A$50,Firms!A260)</f>
        <v>0</v>
      </c>
    </row>
    <row r="261" spans="1:30" ht="15" hidden="1" customHeight="1" x14ac:dyDescent="0.45">
      <c r="A261" s="2" t="s">
        <v>1250</v>
      </c>
      <c r="B261" s="2" t="s">
        <v>29</v>
      </c>
      <c r="C261" s="2" t="s">
        <v>1251</v>
      </c>
      <c r="D261" s="2"/>
      <c r="E261" s="2" t="s">
        <v>1252</v>
      </c>
      <c r="F261" s="2" t="s">
        <v>81</v>
      </c>
      <c r="G261" s="2"/>
      <c r="H261" s="2"/>
      <c r="I261" s="2"/>
      <c r="J261" s="2" t="s">
        <v>192</v>
      </c>
      <c r="K261" s="2"/>
      <c r="L261" s="2"/>
      <c r="M261" s="2"/>
      <c r="N261" s="2"/>
      <c r="O261" s="2" t="s">
        <v>32</v>
      </c>
      <c r="P261" s="2" t="s">
        <v>533</v>
      </c>
      <c r="Q261" s="2"/>
      <c r="R261" s="2"/>
      <c r="S261" s="2"/>
      <c r="T261" s="2"/>
      <c r="U261" s="2"/>
      <c r="V261" s="2"/>
      <c r="W261" s="2"/>
      <c r="X261" s="2" t="s">
        <v>38</v>
      </c>
      <c r="Y261" s="2" t="s">
        <v>39</v>
      </c>
      <c r="Z261" s="2" t="s">
        <v>40</v>
      </c>
      <c r="AA261" s="2" t="s">
        <v>41</v>
      </c>
      <c r="AB261" s="3" t="s">
        <v>1253</v>
      </c>
      <c r="AC261">
        <f>COUNTIF(Sheet1!$A$1:$A$50,Firms!A261)</f>
        <v>0</v>
      </c>
    </row>
    <row r="262" spans="1:30" ht="15" hidden="1" customHeight="1" x14ac:dyDescent="0.45">
      <c r="A262" s="2" t="s">
        <v>1254</v>
      </c>
      <c r="B262" s="2" t="s">
        <v>29</v>
      </c>
      <c r="C262" s="2"/>
      <c r="D262" s="2"/>
      <c r="E262" s="2" t="s">
        <v>1255</v>
      </c>
      <c r="F262" s="2" t="s">
        <v>31</v>
      </c>
      <c r="G262" s="2"/>
      <c r="H262" s="2"/>
      <c r="I262" s="2"/>
      <c r="J262" s="2"/>
      <c r="K262" s="2"/>
      <c r="L262" s="2"/>
      <c r="M262" s="2"/>
      <c r="N262" s="2"/>
      <c r="O262" s="2" t="s">
        <v>32</v>
      </c>
      <c r="P262" s="2" t="s">
        <v>167</v>
      </c>
      <c r="Q262" s="2"/>
      <c r="R262" s="2"/>
      <c r="S262" s="2"/>
      <c r="T262" s="2"/>
      <c r="U262" s="2" t="s">
        <v>35</v>
      </c>
      <c r="V262" s="2"/>
      <c r="W262" s="2"/>
      <c r="X262" s="2" t="s">
        <v>38</v>
      </c>
      <c r="Y262" s="2" t="s">
        <v>39</v>
      </c>
      <c r="Z262" s="2" t="s">
        <v>40</v>
      </c>
      <c r="AA262" s="2" t="s">
        <v>41</v>
      </c>
      <c r="AB262" s="3" t="s">
        <v>1256</v>
      </c>
      <c r="AC262">
        <f>COUNTIF(Sheet1!$A$1:$A$50,Firms!A262)</f>
        <v>0</v>
      </c>
    </row>
    <row r="263" spans="1:30" ht="15" hidden="1" customHeight="1" x14ac:dyDescent="0.45">
      <c r="A263" s="2" t="s">
        <v>1257</v>
      </c>
      <c r="B263" s="2" t="s">
        <v>291</v>
      </c>
      <c r="C263" s="2"/>
      <c r="D263" s="2"/>
      <c r="E263" s="2" t="s">
        <v>1258</v>
      </c>
      <c r="F263" s="2"/>
      <c r="G263" s="2"/>
      <c r="H263" s="2"/>
      <c r="I263" s="2"/>
      <c r="J263" s="2"/>
      <c r="K263" s="2"/>
      <c r="L263" s="2"/>
      <c r="M263" s="2"/>
      <c r="N263" s="2"/>
      <c r="O263" s="2" t="s">
        <v>406</v>
      </c>
      <c r="P263" s="2" t="s">
        <v>105</v>
      </c>
      <c r="Q263" s="2"/>
      <c r="R263" s="2"/>
      <c r="S263" s="2"/>
      <c r="T263" s="2"/>
      <c r="U263" s="2"/>
      <c r="V263" s="2"/>
      <c r="W263" s="2"/>
      <c r="X263" s="2" t="s">
        <v>38</v>
      </c>
      <c r="Y263" s="2" t="s">
        <v>39</v>
      </c>
      <c r="Z263" s="2" t="s">
        <v>40</v>
      </c>
      <c r="AA263" s="2" t="s">
        <v>41</v>
      </c>
      <c r="AB263" s="3" t="s">
        <v>1259</v>
      </c>
      <c r="AC263">
        <f>COUNTIF(Sheet1!$A$1:$A$50,Firms!A263)</f>
        <v>0</v>
      </c>
    </row>
    <row r="264" spans="1:30" ht="15" hidden="1" customHeight="1" x14ac:dyDescent="0.45">
      <c r="A264" s="8" t="s">
        <v>1260</v>
      </c>
      <c r="B264" s="8" t="s">
        <v>44</v>
      </c>
      <c r="C264" s="8" t="s">
        <v>66</v>
      </c>
      <c r="D264" s="8" t="s">
        <v>1261</v>
      </c>
      <c r="E264" s="8" t="s">
        <v>1262</v>
      </c>
      <c r="F264" s="8"/>
      <c r="G264" s="8"/>
      <c r="H264" s="8"/>
      <c r="I264" s="8"/>
      <c r="J264" s="8"/>
      <c r="K264" s="8"/>
      <c r="L264" s="8"/>
      <c r="M264" s="8"/>
      <c r="N264" s="8"/>
      <c r="O264" s="8"/>
      <c r="P264" s="8" t="s">
        <v>1263</v>
      </c>
      <c r="Q264" s="8"/>
      <c r="R264" s="8"/>
      <c r="S264" s="8"/>
      <c r="T264" s="8"/>
      <c r="U264" s="8" t="s">
        <v>35</v>
      </c>
      <c r="V264" s="8"/>
      <c r="W264" s="8"/>
      <c r="X264" s="8" t="s">
        <v>47</v>
      </c>
      <c r="Y264" s="8" t="s">
        <v>39</v>
      </c>
      <c r="Z264" s="8" t="s">
        <v>40</v>
      </c>
      <c r="AA264" s="8" t="s">
        <v>41</v>
      </c>
      <c r="AB264" s="9" t="s">
        <v>1264</v>
      </c>
      <c r="AC264">
        <f>COUNTIF(Sheet1!$A$1:$A$50,Firms!A264)</f>
        <v>0</v>
      </c>
    </row>
    <row r="265" spans="1:30" ht="15" hidden="1" customHeight="1" x14ac:dyDescent="0.45">
      <c r="A265" s="2" t="s">
        <v>1265</v>
      </c>
      <c r="B265" s="2" t="s">
        <v>29</v>
      </c>
      <c r="C265" s="2" t="s">
        <v>331</v>
      </c>
      <c r="D265" s="2" t="s">
        <v>332</v>
      </c>
      <c r="E265" s="2" t="s">
        <v>1266</v>
      </c>
      <c r="F265" s="2" t="s">
        <v>31</v>
      </c>
      <c r="G265" s="2"/>
      <c r="H265" s="2"/>
      <c r="I265" s="2"/>
      <c r="J265" s="2"/>
      <c r="K265" s="2"/>
      <c r="L265" s="2"/>
      <c r="M265" s="2"/>
      <c r="N265" s="2"/>
      <c r="O265" s="2" t="s">
        <v>32</v>
      </c>
      <c r="P265" s="2" t="s">
        <v>428</v>
      </c>
      <c r="Q265" s="2"/>
      <c r="R265" s="2"/>
      <c r="S265" s="2"/>
      <c r="T265" s="2" t="s">
        <v>1267</v>
      </c>
      <c r="U265" s="2" t="s">
        <v>35</v>
      </c>
      <c r="V265" s="2" t="s">
        <v>247</v>
      </c>
      <c r="W265" s="2"/>
      <c r="X265" s="2" t="s">
        <v>38</v>
      </c>
      <c r="Y265" s="2" t="s">
        <v>39</v>
      </c>
      <c r="Z265" s="2" t="s">
        <v>40</v>
      </c>
      <c r="AA265" s="2" t="s">
        <v>41</v>
      </c>
      <c r="AB265" s="3" t="s">
        <v>1268</v>
      </c>
      <c r="AC265">
        <f>COUNTIF(Sheet1!$A$1:$A$50,Firms!A265)</f>
        <v>0</v>
      </c>
    </row>
    <row r="266" spans="1:30" ht="15" hidden="1" customHeight="1" x14ac:dyDescent="0.45">
      <c r="A266" s="2" t="s">
        <v>1269</v>
      </c>
      <c r="B266" s="2" t="s">
        <v>402</v>
      </c>
      <c r="C266" s="2"/>
      <c r="D266" s="2"/>
      <c r="E266" s="2" t="s">
        <v>1270</v>
      </c>
      <c r="F266" s="2" t="s">
        <v>81</v>
      </c>
      <c r="G266" s="2"/>
      <c r="H266" s="2"/>
      <c r="I266" s="2"/>
      <c r="J266" s="2"/>
      <c r="K266" s="2"/>
      <c r="L266" s="2"/>
      <c r="M266" s="2"/>
      <c r="N266" s="2"/>
      <c r="O266" s="2" t="s">
        <v>671</v>
      </c>
      <c r="P266" s="2" t="s">
        <v>508</v>
      </c>
      <c r="Q266" s="2"/>
      <c r="R266" s="2"/>
      <c r="S266" s="2"/>
      <c r="T266" s="2"/>
      <c r="U266" s="2" t="s">
        <v>35</v>
      </c>
      <c r="V266" s="2"/>
      <c r="W266" s="2"/>
      <c r="X266" s="2" t="s">
        <v>38</v>
      </c>
      <c r="Y266" s="2" t="s">
        <v>39</v>
      </c>
      <c r="Z266" s="2" t="s">
        <v>40</v>
      </c>
      <c r="AA266" s="2" t="s">
        <v>41</v>
      </c>
      <c r="AB266" s="3" t="s">
        <v>1271</v>
      </c>
      <c r="AC266">
        <f>COUNTIF(Sheet1!$A$1:$A$50,Firms!A266)</f>
        <v>0</v>
      </c>
    </row>
    <row r="267" spans="1:30" ht="15" hidden="1" customHeight="1" x14ac:dyDescent="0.45">
      <c r="A267" s="6" t="s">
        <v>1272</v>
      </c>
      <c r="B267" s="6" t="s">
        <v>291</v>
      </c>
      <c r="C267" s="6" t="s">
        <v>609</v>
      </c>
      <c r="D267" s="6" t="s">
        <v>610</v>
      </c>
      <c r="E267" s="6" t="s">
        <v>1273</v>
      </c>
      <c r="F267" s="6" t="s">
        <v>81</v>
      </c>
      <c r="G267" s="6"/>
      <c r="H267" s="6"/>
      <c r="I267" s="6" t="s">
        <v>69</v>
      </c>
      <c r="J267" s="6" t="s">
        <v>70</v>
      </c>
      <c r="K267" s="6"/>
      <c r="L267" s="6"/>
      <c r="M267" s="6"/>
      <c r="N267" s="6"/>
      <c r="O267" s="6" t="s">
        <v>193</v>
      </c>
      <c r="P267" s="6" t="s">
        <v>857</v>
      </c>
      <c r="Q267" s="6"/>
      <c r="R267" s="6"/>
      <c r="S267" s="6"/>
      <c r="T267" s="6"/>
      <c r="U267" s="6" t="s">
        <v>35</v>
      </c>
      <c r="V267" s="6"/>
      <c r="W267" s="6"/>
      <c r="X267" s="6" t="s">
        <v>63</v>
      </c>
      <c r="Y267" s="6" t="s">
        <v>39</v>
      </c>
      <c r="Z267" s="6" t="s">
        <v>40</v>
      </c>
      <c r="AA267" s="6" t="s">
        <v>41</v>
      </c>
      <c r="AB267" s="7" t="s">
        <v>1274</v>
      </c>
      <c r="AC267">
        <f>COUNTIF(Sheet1!$A$1:$A$50,Firms!A267)</f>
        <v>0</v>
      </c>
    </row>
    <row r="268" spans="1:30" ht="15" hidden="1" customHeight="1" x14ac:dyDescent="0.45">
      <c r="A268" s="6" t="s">
        <v>1275</v>
      </c>
      <c r="B268" s="6" t="s">
        <v>29</v>
      </c>
      <c r="C268" s="6" t="s">
        <v>101</v>
      </c>
      <c r="D268" s="6" t="s">
        <v>477</v>
      </c>
      <c r="E268" s="6" t="s">
        <v>1276</v>
      </c>
      <c r="F268" s="6" t="s">
        <v>31</v>
      </c>
      <c r="G268" s="6" t="s">
        <v>69</v>
      </c>
      <c r="H268" s="6" t="s">
        <v>572</v>
      </c>
      <c r="I268" s="6"/>
      <c r="J268" s="6"/>
      <c r="K268" s="6"/>
      <c r="L268" s="6"/>
      <c r="M268" s="6"/>
      <c r="N268" s="6" t="s">
        <v>70</v>
      </c>
      <c r="O268" s="6" t="s">
        <v>32</v>
      </c>
      <c r="P268" s="6" t="s">
        <v>1277</v>
      </c>
      <c r="Q268" s="6"/>
      <c r="R268" s="6"/>
      <c r="S268" s="6"/>
      <c r="T268" s="6"/>
      <c r="U268" s="6" t="s">
        <v>35</v>
      </c>
      <c r="V268" s="6"/>
      <c r="W268" s="6"/>
      <c r="X268" s="6" t="s">
        <v>63</v>
      </c>
      <c r="Y268" s="6" t="s">
        <v>39</v>
      </c>
      <c r="Z268" s="6" t="s">
        <v>40</v>
      </c>
      <c r="AA268" s="6" t="s">
        <v>41</v>
      </c>
      <c r="AB268" s="7" t="s">
        <v>1278</v>
      </c>
      <c r="AC268">
        <f>COUNTIF(Sheet1!$A$1:$A$50,Firms!A268)</f>
        <v>0</v>
      </c>
    </row>
    <row r="269" spans="1:30" ht="15" hidden="1" customHeight="1" x14ac:dyDescent="0.45">
      <c r="A269" s="4" t="s">
        <v>1279</v>
      </c>
      <c r="B269" s="4" t="s">
        <v>29</v>
      </c>
      <c r="C269" s="4"/>
      <c r="D269" s="4"/>
      <c r="E269" s="4" t="s">
        <v>1280</v>
      </c>
      <c r="F269" s="4"/>
      <c r="G269" s="4"/>
      <c r="H269" s="4"/>
      <c r="I269" s="4"/>
      <c r="J269" s="4"/>
      <c r="K269" s="4"/>
      <c r="L269" s="4"/>
      <c r="M269" s="4"/>
      <c r="N269" s="4"/>
      <c r="O269" s="4"/>
      <c r="P269" s="4" t="s">
        <v>424</v>
      </c>
      <c r="Q269" s="4"/>
      <c r="R269" s="4"/>
      <c r="S269" s="4"/>
      <c r="T269" s="4"/>
      <c r="U269" s="4" t="s">
        <v>35</v>
      </c>
      <c r="V269" s="4"/>
      <c r="W269" s="4"/>
      <c r="X269" s="4" t="s">
        <v>47</v>
      </c>
      <c r="Y269" s="4" t="s">
        <v>48</v>
      </c>
      <c r="Z269" s="4" t="s">
        <v>40</v>
      </c>
      <c r="AA269" s="4" t="s">
        <v>41</v>
      </c>
      <c r="AB269" s="5" t="s">
        <v>1281</v>
      </c>
      <c r="AC269">
        <f>COUNTIF(Sheet1!$A$1:$A$50,Firms!A269)</f>
        <v>0</v>
      </c>
    </row>
    <row r="270" spans="1:30" ht="15" hidden="1" customHeight="1" x14ac:dyDescent="0.45">
      <c r="A270" s="2" t="s">
        <v>1282</v>
      </c>
      <c r="B270" s="2" t="s">
        <v>29</v>
      </c>
      <c r="C270" s="2"/>
      <c r="D270" s="2"/>
      <c r="E270" s="2" t="s">
        <v>1283</v>
      </c>
      <c r="F270" s="2" t="s">
        <v>81</v>
      </c>
      <c r="G270" s="2"/>
      <c r="H270" s="2"/>
      <c r="I270" s="2"/>
      <c r="J270" s="2"/>
      <c r="K270" s="2"/>
      <c r="L270" s="2"/>
      <c r="M270" s="2"/>
      <c r="N270" s="2"/>
      <c r="O270" s="2" t="s">
        <v>32</v>
      </c>
      <c r="P270" s="2" t="s">
        <v>653</v>
      </c>
      <c r="Q270" s="2"/>
      <c r="R270" s="2"/>
      <c r="S270" s="2"/>
      <c r="T270" s="2" t="s">
        <v>258</v>
      </c>
      <c r="U270" s="2"/>
      <c r="V270" s="2" t="s">
        <v>1284</v>
      </c>
      <c r="W270" s="2" t="s">
        <v>1285</v>
      </c>
      <c r="X270" s="2" t="s">
        <v>38</v>
      </c>
      <c r="Y270" s="2" t="s">
        <v>39</v>
      </c>
      <c r="Z270" s="2" t="s">
        <v>40</v>
      </c>
      <c r="AA270" s="2" t="s">
        <v>41</v>
      </c>
      <c r="AB270" s="3" t="s">
        <v>1286</v>
      </c>
      <c r="AC270">
        <f>COUNTIF(Sheet1!$A$1:$A$50,Firms!A270)</f>
        <v>0</v>
      </c>
    </row>
    <row r="271" spans="1:30" ht="15" hidden="1" customHeight="1" x14ac:dyDescent="0.45">
      <c r="A271" s="4" t="s">
        <v>1287</v>
      </c>
      <c r="B271" s="4" t="s">
        <v>44</v>
      </c>
      <c r="C271" s="4"/>
      <c r="D271" s="4"/>
      <c r="E271" s="4" t="s">
        <v>1288</v>
      </c>
      <c r="F271" s="4"/>
      <c r="G271" s="4"/>
      <c r="H271" s="4"/>
      <c r="I271" s="4"/>
      <c r="J271" s="4"/>
      <c r="K271" s="4"/>
      <c r="L271" s="4"/>
      <c r="M271" s="4"/>
      <c r="N271" s="4"/>
      <c r="O271" s="4"/>
      <c r="P271" s="4"/>
      <c r="Q271" s="4"/>
      <c r="R271" s="4"/>
      <c r="S271" s="4"/>
      <c r="T271" s="4"/>
      <c r="U271" s="4" t="s">
        <v>35</v>
      </c>
      <c r="V271" s="4"/>
      <c r="W271" s="4"/>
      <c r="X271" s="4" t="s">
        <v>47</v>
      </c>
      <c r="Y271" s="4" t="s">
        <v>48</v>
      </c>
      <c r="Z271" s="4" t="s">
        <v>441</v>
      </c>
      <c r="AA271" s="4" t="s">
        <v>41</v>
      </c>
      <c r="AB271" s="5" t="s">
        <v>1289</v>
      </c>
      <c r="AC271">
        <f>COUNTIF(Sheet1!$A$1:$A$50,Firms!A271)</f>
        <v>0</v>
      </c>
    </row>
    <row r="272" spans="1:30" ht="15" hidden="1" customHeight="1" x14ac:dyDescent="0.45">
      <c r="A272" s="4" t="s">
        <v>1290</v>
      </c>
      <c r="B272" s="4" t="s">
        <v>44</v>
      </c>
      <c r="C272" s="4"/>
      <c r="D272" s="4"/>
      <c r="E272" s="4" t="s">
        <v>1291</v>
      </c>
      <c r="F272" s="4"/>
      <c r="G272" s="4"/>
      <c r="H272" s="4"/>
      <c r="I272" s="4"/>
      <c r="J272" s="4"/>
      <c r="K272" s="4"/>
      <c r="L272" s="4"/>
      <c r="M272" s="4"/>
      <c r="N272" s="4"/>
      <c r="O272" s="4"/>
      <c r="P272" s="4" t="s">
        <v>116</v>
      </c>
      <c r="Q272" s="4"/>
      <c r="R272" s="4"/>
      <c r="S272" s="4"/>
      <c r="T272" s="4" t="s">
        <v>786</v>
      </c>
      <c r="U272" s="4" t="s">
        <v>35</v>
      </c>
      <c r="V272" s="4"/>
      <c r="W272" s="4"/>
      <c r="X272" s="4" t="s">
        <v>47</v>
      </c>
      <c r="Y272" s="4" t="s">
        <v>48</v>
      </c>
      <c r="Z272" s="4" t="s">
        <v>40</v>
      </c>
      <c r="AA272" s="4" t="s">
        <v>41</v>
      </c>
      <c r="AB272" s="5" t="s">
        <v>1292</v>
      </c>
      <c r="AC272">
        <f>COUNTIF(Sheet1!$A$1:$A$50,Firms!A272)</f>
        <v>0</v>
      </c>
    </row>
    <row r="273" spans="1:30" ht="15" hidden="1" customHeight="1" x14ac:dyDescent="0.45">
      <c r="A273" s="4" t="s">
        <v>1293</v>
      </c>
      <c r="B273" s="4" t="s">
        <v>29</v>
      </c>
      <c r="C273" s="4" t="s">
        <v>1097</v>
      </c>
      <c r="D273" s="4" t="s">
        <v>805</v>
      </c>
      <c r="E273" s="4" t="s">
        <v>1294</v>
      </c>
      <c r="F273" s="4"/>
      <c r="G273" s="4"/>
      <c r="H273" s="4"/>
      <c r="I273" s="4"/>
      <c r="J273" s="4"/>
      <c r="K273" s="4"/>
      <c r="L273" s="4"/>
      <c r="M273" s="4"/>
      <c r="N273" s="4"/>
      <c r="O273" s="4"/>
      <c r="P273" s="4" t="s">
        <v>116</v>
      </c>
      <c r="Q273" s="4"/>
      <c r="R273" s="4"/>
      <c r="S273" s="4"/>
      <c r="T273" s="4" t="s">
        <v>1295</v>
      </c>
      <c r="U273" s="4" t="s">
        <v>35</v>
      </c>
      <c r="V273" s="4"/>
      <c r="W273" s="4"/>
      <c r="X273" s="4" t="s">
        <v>47</v>
      </c>
      <c r="Y273" s="4" t="s">
        <v>48</v>
      </c>
      <c r="Z273" s="4" t="s">
        <v>40</v>
      </c>
      <c r="AA273" s="4" t="s">
        <v>41</v>
      </c>
      <c r="AB273" s="5" t="s">
        <v>1296</v>
      </c>
      <c r="AC273">
        <f>COUNTIF(Sheet1!$A$1:$A$50,Firms!A273)</f>
        <v>0</v>
      </c>
    </row>
    <row r="274" spans="1:30" ht="15" hidden="1" customHeight="1" x14ac:dyDescent="0.45">
      <c r="A274" s="2" t="s">
        <v>1297</v>
      </c>
      <c r="B274" s="2" t="s">
        <v>29</v>
      </c>
      <c r="C274" s="2"/>
      <c r="D274" s="2"/>
      <c r="E274" s="2" t="s">
        <v>1298</v>
      </c>
      <c r="F274" s="2"/>
      <c r="G274" s="2"/>
      <c r="H274" s="2"/>
      <c r="I274" s="2"/>
      <c r="J274" s="2"/>
      <c r="K274" s="2"/>
      <c r="L274" s="2"/>
      <c r="M274" s="2"/>
      <c r="N274" s="2"/>
      <c r="O274" s="2" t="s">
        <v>32</v>
      </c>
      <c r="P274" s="2" t="s">
        <v>986</v>
      </c>
      <c r="Q274" s="2"/>
      <c r="R274" s="2"/>
      <c r="S274" s="2"/>
      <c r="T274" s="2" t="s">
        <v>1299</v>
      </c>
      <c r="U274" s="2" t="s">
        <v>35</v>
      </c>
      <c r="V274" s="2"/>
      <c r="W274" s="2"/>
      <c r="X274" s="2" t="s">
        <v>38</v>
      </c>
      <c r="Y274" s="2" t="s">
        <v>39</v>
      </c>
      <c r="Z274" s="2" t="s">
        <v>40</v>
      </c>
      <c r="AA274" s="2" t="s">
        <v>41</v>
      </c>
      <c r="AB274" s="3" t="s">
        <v>1300</v>
      </c>
      <c r="AC274">
        <f>COUNTIF(Sheet1!$A$1:$A$50,Firms!A274)</f>
        <v>0</v>
      </c>
    </row>
    <row r="275" spans="1:30" ht="15" hidden="1" customHeight="1" x14ac:dyDescent="0.45">
      <c r="A275" s="4" t="s">
        <v>1301</v>
      </c>
      <c r="B275" s="4" t="s">
        <v>44</v>
      </c>
      <c r="C275" s="4"/>
      <c r="D275" s="4"/>
      <c r="E275" s="4" t="s">
        <v>1302</v>
      </c>
      <c r="F275" s="4"/>
      <c r="G275" s="4"/>
      <c r="H275" s="4"/>
      <c r="I275" s="4"/>
      <c r="J275" s="4"/>
      <c r="K275" s="4"/>
      <c r="L275" s="4"/>
      <c r="M275" s="4"/>
      <c r="N275" s="4"/>
      <c r="O275" s="4"/>
      <c r="P275" s="4" t="s">
        <v>1205</v>
      </c>
      <c r="Q275" s="4"/>
      <c r="R275" s="4"/>
      <c r="S275" s="4"/>
      <c r="T275" s="4"/>
      <c r="U275" s="4" t="s">
        <v>35</v>
      </c>
      <c r="V275" s="4"/>
      <c r="W275" s="4"/>
      <c r="X275" s="4" t="s">
        <v>47</v>
      </c>
      <c r="Y275" s="4" t="s">
        <v>48</v>
      </c>
      <c r="Z275" s="4" t="s">
        <v>40</v>
      </c>
      <c r="AA275" s="4" t="s">
        <v>41</v>
      </c>
      <c r="AB275" s="5" t="s">
        <v>1303</v>
      </c>
      <c r="AC275">
        <f>COUNTIF(Sheet1!$A$1:$A$50,Firms!A275)</f>
        <v>0</v>
      </c>
    </row>
    <row r="276" spans="1:30" ht="15" hidden="1" customHeight="1" x14ac:dyDescent="0.45">
      <c r="A276" s="6" t="s">
        <v>1304</v>
      </c>
      <c r="B276" s="6" t="s">
        <v>29</v>
      </c>
      <c r="C276" s="6"/>
      <c r="D276" s="6"/>
      <c r="E276" s="6" t="s">
        <v>1305</v>
      </c>
      <c r="F276" s="6" t="s">
        <v>31</v>
      </c>
      <c r="G276" s="6"/>
      <c r="H276" s="6"/>
      <c r="I276" s="6"/>
      <c r="J276" s="6"/>
      <c r="K276" s="6" t="s">
        <v>55</v>
      </c>
      <c r="L276" s="6" t="s">
        <v>258</v>
      </c>
      <c r="M276" s="6" t="s">
        <v>58</v>
      </c>
      <c r="N276" s="6" t="s">
        <v>55</v>
      </c>
      <c r="O276" s="6" t="s">
        <v>193</v>
      </c>
      <c r="P276" s="6" t="s">
        <v>351</v>
      </c>
      <c r="Q276" s="6"/>
      <c r="R276" s="6"/>
      <c r="S276" s="6"/>
      <c r="T276" s="6" t="s">
        <v>1306</v>
      </c>
      <c r="U276" s="6" t="s">
        <v>35</v>
      </c>
      <c r="V276" s="6"/>
      <c r="W276" s="6"/>
      <c r="X276" s="6" t="s">
        <v>63</v>
      </c>
      <c r="Y276" s="6" t="s">
        <v>39</v>
      </c>
      <c r="Z276" s="6" t="s">
        <v>40</v>
      </c>
      <c r="AA276" s="6" t="s">
        <v>41</v>
      </c>
      <c r="AB276" s="7" t="s">
        <v>1307</v>
      </c>
      <c r="AC276">
        <f>COUNTIF(Sheet1!$A$1:$A$50,Firms!A276)</f>
        <v>0</v>
      </c>
    </row>
    <row r="277" spans="1:30" ht="15" hidden="1" customHeight="1" x14ac:dyDescent="0.45">
      <c r="A277" s="4" t="s">
        <v>1308</v>
      </c>
      <c r="B277" s="4" t="s">
        <v>29</v>
      </c>
      <c r="C277" s="4"/>
      <c r="D277" s="4"/>
      <c r="E277" s="4" t="s">
        <v>1309</v>
      </c>
      <c r="F277" s="4"/>
      <c r="G277" s="4"/>
      <c r="H277" s="4"/>
      <c r="I277" s="4"/>
      <c r="J277" s="4"/>
      <c r="K277" s="4"/>
      <c r="L277" s="4"/>
      <c r="M277" s="4"/>
      <c r="N277" s="4"/>
      <c r="O277" s="4" t="s">
        <v>32</v>
      </c>
      <c r="P277" s="4" t="s">
        <v>116</v>
      </c>
      <c r="Q277" s="4"/>
      <c r="R277" s="4"/>
      <c r="S277" s="4"/>
      <c r="T277" s="4" t="s">
        <v>1310</v>
      </c>
      <c r="U277" s="4" t="s">
        <v>35</v>
      </c>
      <c r="V277" s="4"/>
      <c r="W277" s="4"/>
      <c r="X277" s="4" t="s">
        <v>38</v>
      </c>
      <c r="Y277" s="4" t="s">
        <v>48</v>
      </c>
      <c r="Z277" s="4" t="s">
        <v>40</v>
      </c>
      <c r="AA277" s="4" t="s">
        <v>41</v>
      </c>
      <c r="AB277" s="5" t="s">
        <v>1311</v>
      </c>
      <c r="AC277">
        <f>COUNTIF(Sheet1!$A$1:$A$50,Firms!A277)</f>
        <v>0</v>
      </c>
    </row>
    <row r="278" spans="1:30" ht="15" hidden="1" customHeight="1" x14ac:dyDescent="0.45">
      <c r="A278" s="2" t="s">
        <v>1312</v>
      </c>
      <c r="B278" s="2" t="s">
        <v>402</v>
      </c>
      <c r="C278" s="2" t="s">
        <v>78</v>
      </c>
      <c r="D278" s="2" t="s">
        <v>79</v>
      </c>
      <c r="E278" s="2" t="s">
        <v>1313</v>
      </c>
      <c r="F278" s="2" t="s">
        <v>31</v>
      </c>
      <c r="G278" s="2"/>
      <c r="H278" s="2"/>
      <c r="I278" s="2"/>
      <c r="J278" s="2"/>
      <c r="K278" s="2"/>
      <c r="L278" s="2"/>
      <c r="M278" s="2"/>
      <c r="N278" s="2"/>
      <c r="O278" s="2" t="s">
        <v>406</v>
      </c>
      <c r="P278" s="2" t="s">
        <v>1314</v>
      </c>
      <c r="Q278" s="2" t="s">
        <v>279</v>
      </c>
      <c r="R278" s="2"/>
      <c r="S278" s="2"/>
      <c r="T278" s="2" t="s">
        <v>110</v>
      </c>
      <c r="U278" s="2" t="s">
        <v>35</v>
      </c>
      <c r="V278" s="2"/>
      <c r="W278" s="2"/>
      <c r="X278" s="2" t="s">
        <v>38</v>
      </c>
      <c r="Y278" s="2" t="s">
        <v>39</v>
      </c>
      <c r="Z278" s="2" t="s">
        <v>40</v>
      </c>
      <c r="AA278" s="2" t="s">
        <v>41</v>
      </c>
      <c r="AB278" s="3" t="s">
        <v>1315</v>
      </c>
      <c r="AC278">
        <f>COUNTIF(Sheet1!$A$1:$A$50,Firms!A278)</f>
        <v>0</v>
      </c>
    </row>
    <row r="279" spans="1:30" ht="15" hidden="1" customHeight="1" x14ac:dyDescent="0.45">
      <c r="A279" s="4" t="s">
        <v>1316</v>
      </c>
      <c r="B279" s="4" t="s">
        <v>44</v>
      </c>
      <c r="C279" s="4"/>
      <c r="D279" s="4"/>
      <c r="E279" s="4" t="s">
        <v>1317</v>
      </c>
      <c r="F279" s="4"/>
      <c r="G279" s="4"/>
      <c r="H279" s="4"/>
      <c r="I279" s="4"/>
      <c r="J279" s="4"/>
      <c r="K279" s="4"/>
      <c r="L279" s="4"/>
      <c r="M279" s="4"/>
      <c r="N279" s="4"/>
      <c r="O279" s="4"/>
      <c r="P279" s="4" t="s">
        <v>309</v>
      </c>
      <c r="Q279" s="4"/>
      <c r="R279" s="4"/>
      <c r="S279" s="4"/>
      <c r="T279" s="4"/>
      <c r="U279" s="4" t="s">
        <v>35</v>
      </c>
      <c r="V279" s="4"/>
      <c r="W279" s="4"/>
      <c r="X279" s="4" t="s">
        <v>47</v>
      </c>
      <c r="Y279" s="4" t="s">
        <v>48</v>
      </c>
      <c r="Z279" s="4" t="s">
        <v>40</v>
      </c>
      <c r="AA279" s="4" t="s">
        <v>41</v>
      </c>
      <c r="AB279" s="5" t="s">
        <v>1318</v>
      </c>
      <c r="AC279">
        <f>COUNTIF(Sheet1!$A$1:$A$50,Firms!A279)</f>
        <v>0</v>
      </c>
    </row>
    <row r="280" spans="1:30" ht="15" hidden="1" customHeight="1" x14ac:dyDescent="0.45">
      <c r="A280" s="2" t="s">
        <v>1319</v>
      </c>
      <c r="B280" s="2" t="s">
        <v>402</v>
      </c>
      <c r="C280" s="2"/>
      <c r="D280" s="2"/>
      <c r="E280" s="2" t="s">
        <v>1320</v>
      </c>
      <c r="F280" s="2" t="s">
        <v>81</v>
      </c>
      <c r="G280" s="2"/>
      <c r="H280" s="2"/>
      <c r="I280" s="2"/>
      <c r="J280" s="2"/>
      <c r="K280" s="2"/>
      <c r="L280" s="2"/>
      <c r="M280" s="2"/>
      <c r="N280" s="2"/>
      <c r="O280" s="2" t="s">
        <v>406</v>
      </c>
      <c r="P280" s="2" t="s">
        <v>46</v>
      </c>
      <c r="Q280" s="2"/>
      <c r="R280" s="2"/>
      <c r="S280" s="2"/>
      <c r="T280" s="2"/>
      <c r="U280" s="2" t="s">
        <v>35</v>
      </c>
      <c r="V280" s="2"/>
      <c r="W280" s="2"/>
      <c r="X280" s="2" t="s">
        <v>38</v>
      </c>
      <c r="Y280" s="2" t="s">
        <v>39</v>
      </c>
      <c r="Z280" s="2" t="s">
        <v>40</v>
      </c>
      <c r="AA280" s="2" t="s">
        <v>41</v>
      </c>
      <c r="AB280" s="3" t="s">
        <v>1321</v>
      </c>
      <c r="AC280">
        <f>COUNTIF(Sheet1!$A$1:$A$50,Firms!A280)</f>
        <v>0</v>
      </c>
    </row>
    <row r="281" spans="1:30" ht="15" hidden="1" customHeight="1" x14ac:dyDescent="0.45">
      <c r="A281" s="2" t="s">
        <v>1322</v>
      </c>
      <c r="B281" s="2" t="s">
        <v>29</v>
      </c>
      <c r="C281" s="2"/>
      <c r="D281" s="2"/>
      <c r="E281" s="2" t="s">
        <v>1323</v>
      </c>
      <c r="F281" s="2" t="s">
        <v>31</v>
      </c>
      <c r="G281" s="2"/>
      <c r="H281" s="2"/>
      <c r="I281" s="2"/>
      <c r="J281" s="2"/>
      <c r="K281" s="2" t="s">
        <v>70</v>
      </c>
      <c r="L281" s="2"/>
      <c r="M281" s="2"/>
      <c r="N281" s="2"/>
      <c r="O281" s="2" t="s">
        <v>32</v>
      </c>
      <c r="P281" s="2" t="s">
        <v>841</v>
      </c>
      <c r="Q281" s="2" t="s">
        <v>241</v>
      </c>
      <c r="R281" s="2"/>
      <c r="S281" s="2"/>
      <c r="T281" s="2"/>
      <c r="U281" s="2" t="s">
        <v>35</v>
      </c>
      <c r="V281" s="2"/>
      <c r="W281" s="2"/>
      <c r="X281" s="2" t="s">
        <v>38</v>
      </c>
      <c r="Y281" s="2" t="s">
        <v>39</v>
      </c>
      <c r="Z281" s="2" t="s">
        <v>40</v>
      </c>
      <c r="AA281" s="2" t="s">
        <v>41</v>
      </c>
      <c r="AB281" s="3" t="s">
        <v>1324</v>
      </c>
      <c r="AC281">
        <f>COUNTIF(Sheet1!$A$1:$A$50,Firms!A281)</f>
        <v>0</v>
      </c>
    </row>
    <row r="282" spans="1:30" ht="15" hidden="1" customHeight="1" x14ac:dyDescent="0.45">
      <c r="A282" s="6" t="s">
        <v>1325</v>
      </c>
      <c r="B282" s="6" t="s">
        <v>29</v>
      </c>
      <c r="C282" s="6" t="s">
        <v>272</v>
      </c>
      <c r="D282" s="6" t="s">
        <v>1326</v>
      </c>
      <c r="E282" s="6" t="s">
        <v>1327</v>
      </c>
      <c r="F282" s="6" t="s">
        <v>31</v>
      </c>
      <c r="G282" s="6" t="s">
        <v>192</v>
      </c>
      <c r="H282" s="6" t="s">
        <v>55</v>
      </c>
      <c r="I282" s="6" t="s">
        <v>125</v>
      </c>
      <c r="J282" s="6" t="s">
        <v>192</v>
      </c>
      <c r="K282" s="6"/>
      <c r="L282" s="6"/>
      <c r="M282" s="6"/>
      <c r="N282" s="6"/>
      <c r="O282" s="6" t="s">
        <v>32</v>
      </c>
      <c r="P282" s="6" t="s">
        <v>111</v>
      </c>
      <c r="Q282" s="6"/>
      <c r="R282" s="6"/>
      <c r="S282" s="6"/>
      <c r="T282" s="6"/>
      <c r="U282" s="6" t="s">
        <v>35</v>
      </c>
      <c r="V282" s="6"/>
      <c r="W282" s="6"/>
      <c r="X282" s="6" t="s">
        <v>63</v>
      </c>
      <c r="Y282" s="6" t="s">
        <v>39</v>
      </c>
      <c r="Z282" s="6" t="s">
        <v>40</v>
      </c>
      <c r="AA282" s="6" t="s">
        <v>41</v>
      </c>
      <c r="AB282" s="7" t="s">
        <v>1328</v>
      </c>
      <c r="AC282">
        <f>COUNTIF(Sheet1!$A$1:$A$50,Firms!A282)</f>
        <v>0</v>
      </c>
    </row>
    <row r="283" spans="1:30" ht="15" customHeight="1" x14ac:dyDescent="0.45">
      <c r="A283" s="6" t="s">
        <v>1329</v>
      </c>
      <c r="B283" s="6" t="s">
        <v>29</v>
      </c>
      <c r="C283" s="6" t="s">
        <v>1330</v>
      </c>
      <c r="D283" s="6" t="s">
        <v>1331</v>
      </c>
      <c r="E283" s="6" t="s">
        <v>1332</v>
      </c>
      <c r="F283" s="6" t="s">
        <v>31</v>
      </c>
      <c r="G283" s="6"/>
      <c r="H283" s="6"/>
      <c r="I283" s="6" t="s">
        <v>69</v>
      </c>
      <c r="J283" s="6" t="s">
        <v>110</v>
      </c>
      <c r="K283" s="6" t="s">
        <v>70</v>
      </c>
      <c r="L283" s="6" t="s">
        <v>563</v>
      </c>
      <c r="M283" s="6" t="s">
        <v>58</v>
      </c>
      <c r="N283" s="6" t="s">
        <v>136</v>
      </c>
      <c r="O283" s="6" t="s">
        <v>32</v>
      </c>
      <c r="P283" s="6" t="s">
        <v>1333</v>
      </c>
      <c r="Q283" s="6" t="s">
        <v>1334</v>
      </c>
      <c r="R283" s="6"/>
      <c r="S283" s="6"/>
      <c r="T283" s="6" t="s">
        <v>1335</v>
      </c>
      <c r="U283" s="6" t="s">
        <v>35</v>
      </c>
      <c r="V283" s="6"/>
      <c r="W283" s="6"/>
      <c r="X283" s="6" t="s">
        <v>63</v>
      </c>
      <c r="Y283" s="6" t="s">
        <v>39</v>
      </c>
      <c r="Z283" s="6" t="s">
        <v>40</v>
      </c>
      <c r="AA283" s="6" t="s">
        <v>41</v>
      </c>
      <c r="AB283" s="7" t="s">
        <v>1336</v>
      </c>
      <c r="AC283">
        <f>COUNTIF(Sheet1!$A$1:$A$50,Firms!A283)</f>
        <v>1</v>
      </c>
      <c r="AD283" t="str">
        <f>SUBSTITUTE(AB283,"Seeded from CapIQ export. Numeric fields are regex first-pass — c","C")</f>
        <v>Crawler will confirm. capiq_description preserved for AI extraction fallback. | [extractor] Firm focuses on middle market buyouts in healthcare and business services. 100+ investments, $1.9B invested, 20+ years tenure. Brochure available at https://www.northlanecapital.com/wp-content/uploads/Northlane-Capital-Partners-Overview-March-2026.pdf but not parsed. No minimum EBITDA for add-on transactions. Does 80+ add-on transactions historically, indicating buy-and-build strategy but classified as Buyout per control acquisition model.</v>
      </c>
    </row>
    <row r="284" spans="1:30" ht="15" hidden="1" customHeight="1" x14ac:dyDescent="0.45">
      <c r="A284" s="2" t="s">
        <v>1337</v>
      </c>
      <c r="B284" s="2" t="s">
        <v>29</v>
      </c>
      <c r="C284" s="2" t="s">
        <v>1338</v>
      </c>
      <c r="D284" s="2" t="s">
        <v>1339</v>
      </c>
      <c r="E284" s="2" t="s">
        <v>1340</v>
      </c>
      <c r="F284" s="2" t="s">
        <v>81</v>
      </c>
      <c r="G284" s="2"/>
      <c r="H284" s="2"/>
      <c r="I284" s="2"/>
      <c r="J284" s="2"/>
      <c r="K284" s="2"/>
      <c r="L284" s="2"/>
      <c r="M284" s="2"/>
      <c r="N284" s="2"/>
      <c r="O284" s="2" t="s">
        <v>32</v>
      </c>
      <c r="P284" s="2" t="s">
        <v>1341</v>
      </c>
      <c r="Q284" s="2"/>
      <c r="R284" s="2"/>
      <c r="S284" s="2"/>
      <c r="T284" s="2" t="s">
        <v>1342</v>
      </c>
      <c r="U284" s="2" t="s">
        <v>35</v>
      </c>
      <c r="V284" s="2"/>
      <c r="W284" s="2"/>
      <c r="X284" s="2" t="s">
        <v>38</v>
      </c>
      <c r="Y284" s="2" t="s">
        <v>39</v>
      </c>
      <c r="Z284" s="2" t="s">
        <v>40</v>
      </c>
      <c r="AA284" s="2" t="s">
        <v>41</v>
      </c>
      <c r="AB284" s="3" t="s">
        <v>1343</v>
      </c>
      <c r="AC284">
        <f>COUNTIF(Sheet1!$A$1:$A$50,Firms!A284)</f>
        <v>0</v>
      </c>
    </row>
    <row r="285" spans="1:30" ht="15" hidden="1" customHeight="1" x14ac:dyDescent="0.45">
      <c r="A285" s="2" t="s">
        <v>1344</v>
      </c>
      <c r="B285" s="2" t="s">
        <v>29</v>
      </c>
      <c r="C285" s="2"/>
      <c r="D285" s="2" t="s">
        <v>337</v>
      </c>
      <c r="E285" s="2" t="s">
        <v>1345</v>
      </c>
      <c r="F285" s="2" t="s">
        <v>81</v>
      </c>
      <c r="G285" s="2"/>
      <c r="H285" s="2"/>
      <c r="I285" s="2"/>
      <c r="J285" s="2"/>
      <c r="K285" s="2"/>
      <c r="L285" s="2"/>
      <c r="M285" s="2"/>
      <c r="N285" s="2"/>
      <c r="O285" s="2" t="s">
        <v>72</v>
      </c>
      <c r="P285" s="2" t="s">
        <v>73</v>
      </c>
      <c r="Q285" s="2"/>
      <c r="R285" s="2"/>
      <c r="S285" s="2"/>
      <c r="T285" s="2" t="s">
        <v>697</v>
      </c>
      <c r="U285" s="2" t="s">
        <v>35</v>
      </c>
      <c r="V285" s="2"/>
      <c r="W285" s="2"/>
      <c r="X285" s="2" t="s">
        <v>38</v>
      </c>
      <c r="Y285" s="2" t="s">
        <v>39</v>
      </c>
      <c r="Z285" s="2" t="s">
        <v>40</v>
      </c>
      <c r="AA285" s="2" t="s">
        <v>41</v>
      </c>
      <c r="AB285" s="3" t="s">
        <v>1346</v>
      </c>
      <c r="AC285">
        <f>COUNTIF(Sheet1!$A$1:$A$50,Firms!A285)</f>
        <v>0</v>
      </c>
    </row>
    <row r="286" spans="1:30" ht="15" hidden="1" customHeight="1" x14ac:dyDescent="0.45">
      <c r="A286" s="2" t="s">
        <v>1347</v>
      </c>
      <c r="B286" s="2" t="s">
        <v>29</v>
      </c>
      <c r="C286" s="2"/>
      <c r="D286" s="2"/>
      <c r="E286" s="2" t="s">
        <v>1348</v>
      </c>
      <c r="F286" s="2" t="s">
        <v>81</v>
      </c>
      <c r="G286" s="2"/>
      <c r="H286" s="2"/>
      <c r="I286" s="2"/>
      <c r="J286" s="2"/>
      <c r="K286" s="2"/>
      <c r="L286" s="2"/>
      <c r="M286" s="2"/>
      <c r="N286" s="2"/>
      <c r="O286" s="2" t="s">
        <v>32</v>
      </c>
      <c r="P286" s="2" t="s">
        <v>1349</v>
      </c>
      <c r="Q286" s="2"/>
      <c r="R286" s="2"/>
      <c r="S286" s="2"/>
      <c r="T286" s="2" t="s">
        <v>1350</v>
      </c>
      <c r="U286" s="2" t="s">
        <v>35</v>
      </c>
      <c r="V286" s="2"/>
      <c r="W286" s="2"/>
      <c r="X286" s="2" t="s">
        <v>38</v>
      </c>
      <c r="Y286" s="2" t="s">
        <v>39</v>
      </c>
      <c r="Z286" s="2" t="s">
        <v>40</v>
      </c>
      <c r="AA286" s="2" t="s">
        <v>41</v>
      </c>
      <c r="AB286" s="3" t="s">
        <v>1351</v>
      </c>
      <c r="AC286">
        <f>COUNTIF(Sheet1!$A$1:$A$50,Firms!A286)</f>
        <v>0</v>
      </c>
    </row>
    <row r="287" spans="1:30" ht="15" hidden="1" customHeight="1" x14ac:dyDescent="0.45">
      <c r="A287" s="2" t="s">
        <v>1352</v>
      </c>
      <c r="B287" s="2" t="s">
        <v>29</v>
      </c>
      <c r="C287" s="2"/>
      <c r="D287" s="2"/>
      <c r="E287" s="2" t="s">
        <v>1353</v>
      </c>
      <c r="F287" s="2"/>
      <c r="G287" s="2"/>
      <c r="H287" s="2"/>
      <c r="I287" s="2"/>
      <c r="J287" s="2"/>
      <c r="K287" s="2"/>
      <c r="L287" s="2"/>
      <c r="M287" s="2"/>
      <c r="N287" s="2"/>
      <c r="O287" s="2" t="s">
        <v>72</v>
      </c>
      <c r="P287" s="2" t="s">
        <v>73</v>
      </c>
      <c r="Q287" s="2"/>
      <c r="R287" s="2"/>
      <c r="S287" s="2"/>
      <c r="T287" s="2" t="s">
        <v>1354</v>
      </c>
      <c r="U287" s="2" t="s">
        <v>35</v>
      </c>
      <c r="V287" s="2"/>
      <c r="W287" s="2"/>
      <c r="X287" s="2" t="s">
        <v>38</v>
      </c>
      <c r="Y287" s="2" t="s">
        <v>39</v>
      </c>
      <c r="Z287" s="2" t="s">
        <v>40</v>
      </c>
      <c r="AA287" s="2" t="s">
        <v>41</v>
      </c>
      <c r="AB287" s="3" t="s">
        <v>1355</v>
      </c>
      <c r="AC287">
        <f>COUNTIF(Sheet1!$A$1:$A$50,Firms!A287)</f>
        <v>0</v>
      </c>
    </row>
    <row r="288" spans="1:30" ht="15" customHeight="1" x14ac:dyDescent="0.45">
      <c r="A288" s="6" t="s">
        <v>1356</v>
      </c>
      <c r="B288" s="6" t="s">
        <v>29</v>
      </c>
      <c r="C288" s="6"/>
      <c r="D288" s="6"/>
      <c r="E288" s="6" t="s">
        <v>1357</v>
      </c>
      <c r="F288" s="6" t="s">
        <v>31</v>
      </c>
      <c r="G288" s="6" t="s">
        <v>55</v>
      </c>
      <c r="H288" s="6" t="s">
        <v>57</v>
      </c>
      <c r="I288" s="6" t="s">
        <v>192</v>
      </c>
      <c r="J288" s="6" t="s">
        <v>136</v>
      </c>
      <c r="K288" s="6" t="s">
        <v>55</v>
      </c>
      <c r="L288" s="6" t="s">
        <v>258</v>
      </c>
      <c r="M288" s="6" t="s">
        <v>110</v>
      </c>
      <c r="N288" s="6" t="s">
        <v>136</v>
      </c>
      <c r="O288" s="6" t="s">
        <v>32</v>
      </c>
      <c r="P288" s="6" t="s">
        <v>1358</v>
      </c>
      <c r="Q288" s="6"/>
      <c r="R288" s="6"/>
      <c r="S288" s="6"/>
      <c r="T288" s="6"/>
      <c r="U288" s="6" t="s">
        <v>35</v>
      </c>
      <c r="V288" s="6" t="s">
        <v>1359</v>
      </c>
      <c r="W288" s="6"/>
      <c r="X288" s="6" t="s">
        <v>63</v>
      </c>
      <c r="Y288" s="6" t="s">
        <v>39</v>
      </c>
      <c r="Z288" s="6" t="s">
        <v>40</v>
      </c>
      <c r="AA288" s="6" t="s">
        <v>41</v>
      </c>
      <c r="AB288" s="7" t="s">
        <v>1360</v>
      </c>
      <c r="AC288">
        <f>COUNTIF(Sheet1!$A$1:$A$50,Firms!A288)</f>
        <v>1</v>
      </c>
      <c r="AD288" t="str">
        <f>SUBSTITUTE(AB288,"Seeded from CapIQ export. Numeric fields are regex first-pass — c","C")</f>
        <v>Crawler will confirm. capiq_description preserved for AI extraction fallback. | [extractor] One Equity Partners (OEP) is a PE firm focused on strategic combinations in the middle market. Geographic focus: North America and Western Europe. Explicit investment criteria provided for middle market buyouts with EV $100M-$1B, revenue $100M-$750M, EBITDA $10M-$150M, check sizes $30M-$150M. Target: B2B fragmented industries with combination-driven value creation. Recent deals: Leviat (06/2026), Kitwave Group (03/2026), Armis stake sale (04/2026) confirm active deal flow. HQ location not specified in source material.</v>
      </c>
    </row>
    <row r="289" spans="1:30" ht="15" hidden="1" customHeight="1" x14ac:dyDescent="0.45">
      <c r="A289" s="4" t="s">
        <v>1361</v>
      </c>
      <c r="B289" s="4" t="s">
        <v>29</v>
      </c>
      <c r="C289" s="4"/>
      <c r="D289" s="4"/>
      <c r="E289" s="4" t="s">
        <v>1362</v>
      </c>
      <c r="F289" s="4"/>
      <c r="G289" s="4"/>
      <c r="H289" s="4"/>
      <c r="I289" s="4"/>
      <c r="J289" s="4"/>
      <c r="K289" s="4"/>
      <c r="L289" s="4"/>
      <c r="M289" s="4"/>
      <c r="N289" s="4"/>
      <c r="O289" s="4"/>
      <c r="P289" s="4" t="s">
        <v>911</v>
      </c>
      <c r="Q289" s="4"/>
      <c r="R289" s="4"/>
      <c r="S289" s="4"/>
      <c r="T289" s="4" t="s">
        <v>1363</v>
      </c>
      <c r="U289" s="4" t="s">
        <v>35</v>
      </c>
      <c r="V289" s="4"/>
      <c r="W289" s="4"/>
      <c r="X289" s="4" t="s">
        <v>47</v>
      </c>
      <c r="Y289" s="4" t="s">
        <v>48</v>
      </c>
      <c r="Z289" s="4" t="s">
        <v>40</v>
      </c>
      <c r="AA289" s="4" t="s">
        <v>41</v>
      </c>
      <c r="AB289" s="5" t="s">
        <v>1364</v>
      </c>
      <c r="AC289">
        <f>COUNTIF(Sheet1!$A$1:$A$50,Firms!A289)</f>
        <v>0</v>
      </c>
    </row>
    <row r="290" spans="1:30" ht="15" hidden="1" customHeight="1" x14ac:dyDescent="0.45">
      <c r="A290" s="2" t="s">
        <v>1365</v>
      </c>
      <c r="B290" s="2" t="s">
        <v>29</v>
      </c>
      <c r="C290" s="2" t="s">
        <v>331</v>
      </c>
      <c r="D290" s="2" t="s">
        <v>332</v>
      </c>
      <c r="E290" s="2" t="s">
        <v>1366</v>
      </c>
      <c r="F290" s="2" t="s">
        <v>81</v>
      </c>
      <c r="G290" s="2"/>
      <c r="H290" s="2"/>
      <c r="I290" s="2"/>
      <c r="J290" s="2"/>
      <c r="K290" s="2"/>
      <c r="L290" s="2"/>
      <c r="M290" s="2"/>
      <c r="N290" s="2"/>
      <c r="O290" s="2" t="s">
        <v>32</v>
      </c>
      <c r="P290" s="2" t="s">
        <v>139</v>
      </c>
      <c r="Q290" s="2"/>
      <c r="R290" s="2"/>
      <c r="S290" s="2"/>
      <c r="T290" s="2"/>
      <c r="U290" s="2" t="s">
        <v>35</v>
      </c>
      <c r="V290" s="2" t="s">
        <v>1367</v>
      </c>
      <c r="W290" s="2"/>
      <c r="X290" s="2" t="s">
        <v>38</v>
      </c>
      <c r="Y290" s="2" t="s">
        <v>39</v>
      </c>
      <c r="Z290" s="2" t="s">
        <v>40</v>
      </c>
      <c r="AA290" s="2" t="s">
        <v>41</v>
      </c>
      <c r="AB290" s="3" t="s">
        <v>1368</v>
      </c>
      <c r="AC290">
        <f>COUNTIF(Sheet1!$A$1:$A$50,Firms!A290)</f>
        <v>0</v>
      </c>
    </row>
    <row r="291" spans="1:30" ht="15" hidden="1" customHeight="1" x14ac:dyDescent="0.45">
      <c r="A291" s="2" t="s">
        <v>1369</v>
      </c>
      <c r="B291" s="2" t="s">
        <v>29</v>
      </c>
      <c r="C291" s="2"/>
      <c r="D291" s="2"/>
      <c r="E291" s="2" t="s">
        <v>1370</v>
      </c>
      <c r="F291" s="2" t="s">
        <v>81</v>
      </c>
      <c r="G291" s="2"/>
      <c r="H291" s="2"/>
      <c r="I291" s="2"/>
      <c r="J291" s="2"/>
      <c r="K291" s="2"/>
      <c r="L291" s="2"/>
      <c r="M291" s="2" t="s">
        <v>56</v>
      </c>
      <c r="N291" s="2"/>
      <c r="O291" s="2" t="s">
        <v>193</v>
      </c>
      <c r="P291" s="2" t="s">
        <v>61</v>
      </c>
      <c r="Q291" s="2" t="s">
        <v>582</v>
      </c>
      <c r="R291" s="2"/>
      <c r="S291" s="2"/>
      <c r="T291" s="2"/>
      <c r="U291" s="2" t="s">
        <v>35</v>
      </c>
      <c r="V291" s="2" t="s">
        <v>1371</v>
      </c>
      <c r="W291" s="2"/>
      <c r="X291" s="2" t="s">
        <v>38</v>
      </c>
      <c r="Y291" s="2" t="s">
        <v>39</v>
      </c>
      <c r="Z291" s="2" t="s">
        <v>40</v>
      </c>
      <c r="AA291" s="2" t="s">
        <v>41</v>
      </c>
      <c r="AB291" s="3" t="s">
        <v>1372</v>
      </c>
      <c r="AC291">
        <f>COUNTIF(Sheet1!$A$1:$A$50,Firms!A291)</f>
        <v>0</v>
      </c>
    </row>
    <row r="292" spans="1:30" ht="15" hidden="1" customHeight="1" x14ac:dyDescent="0.45">
      <c r="A292" s="4" t="s">
        <v>1373</v>
      </c>
      <c r="B292" s="4" t="s">
        <v>29</v>
      </c>
      <c r="C292" s="4"/>
      <c r="D292" s="4"/>
      <c r="E292" s="4" t="s">
        <v>1374</v>
      </c>
      <c r="F292" s="4"/>
      <c r="G292" s="4"/>
      <c r="H292" s="4"/>
      <c r="I292" s="4"/>
      <c r="J292" s="4"/>
      <c r="K292" s="4"/>
      <c r="L292" s="4"/>
      <c r="M292" s="4"/>
      <c r="N292" s="4"/>
      <c r="O292" s="4"/>
      <c r="P292" s="4" t="s">
        <v>116</v>
      </c>
      <c r="Q292" s="4"/>
      <c r="R292" s="4"/>
      <c r="S292" s="4"/>
      <c r="T292" s="4"/>
      <c r="U292" s="4" t="s">
        <v>35</v>
      </c>
      <c r="V292" s="4"/>
      <c r="W292" s="4"/>
      <c r="X292" s="4" t="s">
        <v>47</v>
      </c>
      <c r="Y292" s="4" t="s">
        <v>48</v>
      </c>
      <c r="Z292" s="4" t="s">
        <v>40</v>
      </c>
      <c r="AA292" s="4" t="s">
        <v>41</v>
      </c>
      <c r="AB292" s="5" t="s">
        <v>1375</v>
      </c>
      <c r="AC292">
        <f>COUNTIF(Sheet1!$A$1:$A$50,Firms!A292)</f>
        <v>0</v>
      </c>
    </row>
    <row r="293" spans="1:30" ht="15" hidden="1" customHeight="1" x14ac:dyDescent="0.45">
      <c r="A293" s="6" t="s">
        <v>1376</v>
      </c>
      <c r="B293" s="6" t="s">
        <v>29</v>
      </c>
      <c r="C293" s="6"/>
      <c r="D293" s="6"/>
      <c r="E293" s="6" t="s">
        <v>1377</v>
      </c>
      <c r="F293" s="6" t="s">
        <v>31</v>
      </c>
      <c r="G293" s="6"/>
      <c r="H293" s="6"/>
      <c r="I293" s="6" t="s">
        <v>54</v>
      </c>
      <c r="J293" s="6"/>
      <c r="K293" s="6" t="s">
        <v>59</v>
      </c>
      <c r="L293" s="6" t="s">
        <v>334</v>
      </c>
      <c r="M293" s="6" t="s">
        <v>55</v>
      </c>
      <c r="N293" s="6" t="s">
        <v>57</v>
      </c>
      <c r="O293" s="6" t="s">
        <v>82</v>
      </c>
      <c r="P293" s="6" t="s">
        <v>253</v>
      </c>
      <c r="Q293" s="6"/>
      <c r="R293" s="6"/>
      <c r="S293" s="6"/>
      <c r="T293" s="6" t="s">
        <v>1378</v>
      </c>
      <c r="U293" s="6" t="s">
        <v>35</v>
      </c>
      <c r="V293" s="6"/>
      <c r="W293" s="6"/>
      <c r="X293" s="6" t="s">
        <v>63</v>
      </c>
      <c r="Y293" s="6" t="s">
        <v>39</v>
      </c>
      <c r="Z293" s="6" t="s">
        <v>40</v>
      </c>
      <c r="AA293" s="6" t="s">
        <v>41</v>
      </c>
      <c r="AB293" s="7" t="s">
        <v>1379</v>
      </c>
      <c r="AC293">
        <f>COUNTIF(Sheet1!$A$1:$A$50,Firms!A293)</f>
        <v>0</v>
      </c>
    </row>
    <row r="294" spans="1:30" ht="15" customHeight="1" x14ac:dyDescent="0.45">
      <c r="A294" s="6" t="s">
        <v>1380</v>
      </c>
      <c r="B294" s="6" t="s">
        <v>29</v>
      </c>
      <c r="C294" s="6" t="s">
        <v>1097</v>
      </c>
      <c r="D294" s="6" t="s">
        <v>805</v>
      </c>
      <c r="E294" s="6" t="s">
        <v>1381</v>
      </c>
      <c r="F294" s="6" t="s">
        <v>31</v>
      </c>
      <c r="G294" s="6"/>
      <c r="H294" s="6"/>
      <c r="I294" s="6" t="s">
        <v>69</v>
      </c>
      <c r="J294" s="6" t="s">
        <v>110</v>
      </c>
      <c r="K294" s="6"/>
      <c r="L294" s="6"/>
      <c r="M294" s="6"/>
      <c r="N294" s="6"/>
      <c r="O294" s="6" t="s">
        <v>32</v>
      </c>
      <c r="P294" s="6" t="s">
        <v>1042</v>
      </c>
      <c r="Q294" s="6"/>
      <c r="R294" s="6"/>
      <c r="S294" s="6"/>
      <c r="T294" s="6" t="s">
        <v>1382</v>
      </c>
      <c r="U294" s="6" t="s">
        <v>35</v>
      </c>
      <c r="V294" s="6" t="s">
        <v>1383</v>
      </c>
      <c r="W294" s="6"/>
      <c r="X294" s="6" t="s">
        <v>63</v>
      </c>
      <c r="Y294" s="6" t="s">
        <v>39</v>
      </c>
      <c r="Z294" s="6" t="s">
        <v>40</v>
      </c>
      <c r="AA294" s="6" t="s">
        <v>41</v>
      </c>
      <c r="AB294" s="7" t="s">
        <v>1384</v>
      </c>
      <c r="AC294">
        <f>COUNTIF(Sheet1!$A$1:$A$50,Firms!A294)</f>
        <v>1</v>
      </c>
      <c r="AD294" t="str">
        <f>SUBSTITUTE(AB294,"Seeded from CapIQ export. Numeric fields are regex first-pass — c","C")</f>
        <v>Crawler will confirm. capiq_description preserved for AI extraction fallback. | [extractor] Platte River Equity (not PRV Management, LP). Firm clearly states 5 funds raised with &gt;$1.7B committed capital. Target EBITDA $5M–$30M. Majority ownership preferred. North America focus. Recent deals through Jan 2026 indicate active investment activity. Industrial distribution and engineered solutions focus across subsectors (testing, compliance, automation, power, aerospace). Founder/family-owned businesses targeted.</v>
      </c>
    </row>
    <row r="295" spans="1:30" ht="15" hidden="1" customHeight="1" x14ac:dyDescent="0.45">
      <c r="A295" s="4" t="s">
        <v>1385</v>
      </c>
      <c r="B295" s="4" t="s">
        <v>44</v>
      </c>
      <c r="C295" s="4"/>
      <c r="D295" s="4"/>
      <c r="E295" s="4" t="s">
        <v>1386</v>
      </c>
      <c r="F295" s="4"/>
      <c r="G295" s="4"/>
      <c r="H295" s="4"/>
      <c r="I295" s="4"/>
      <c r="J295" s="4"/>
      <c r="K295" s="4"/>
      <c r="L295" s="4"/>
      <c r="M295" s="4"/>
      <c r="N295" s="4"/>
      <c r="O295" s="4"/>
      <c r="P295" s="4" t="s">
        <v>1205</v>
      </c>
      <c r="Q295" s="4"/>
      <c r="R295" s="4"/>
      <c r="S295" s="4"/>
      <c r="T295" s="4" t="s">
        <v>1387</v>
      </c>
      <c r="U295" s="4" t="s">
        <v>35</v>
      </c>
      <c r="V295" s="4"/>
      <c r="W295" s="4"/>
      <c r="X295" s="4" t="s">
        <v>47</v>
      </c>
      <c r="Y295" s="4" t="s">
        <v>48</v>
      </c>
      <c r="Z295" s="4" t="s">
        <v>40</v>
      </c>
      <c r="AA295" s="4" t="s">
        <v>41</v>
      </c>
      <c r="AB295" s="5" t="s">
        <v>1388</v>
      </c>
      <c r="AC295">
        <f>COUNTIF(Sheet1!$A$1:$A$50,Firms!A295)</f>
        <v>0</v>
      </c>
    </row>
    <row r="296" spans="1:30" ht="15" hidden="1" customHeight="1" x14ac:dyDescent="0.45">
      <c r="A296" s="4" t="s">
        <v>1389</v>
      </c>
      <c r="B296" s="4" t="s">
        <v>29</v>
      </c>
      <c r="C296" s="4"/>
      <c r="D296" s="4"/>
      <c r="E296" s="4" t="s">
        <v>1390</v>
      </c>
      <c r="F296" s="4" t="s">
        <v>81</v>
      </c>
      <c r="G296" s="4"/>
      <c r="H296" s="4"/>
      <c r="I296" s="4"/>
      <c r="J296" s="4"/>
      <c r="K296" s="4"/>
      <c r="L296" s="4"/>
      <c r="M296" s="4"/>
      <c r="N296" s="4"/>
      <c r="O296" s="4" t="s">
        <v>32</v>
      </c>
      <c r="P296" s="4" t="s">
        <v>73</v>
      </c>
      <c r="Q296" s="4"/>
      <c r="R296" s="4"/>
      <c r="S296" s="4"/>
      <c r="T296" s="4" t="s">
        <v>1391</v>
      </c>
      <c r="U296" s="4" t="s">
        <v>35</v>
      </c>
      <c r="V296" s="4"/>
      <c r="W296" s="4"/>
      <c r="X296" s="4" t="s">
        <v>47</v>
      </c>
      <c r="Y296" s="4" t="s">
        <v>48</v>
      </c>
      <c r="Z296" s="4" t="s">
        <v>40</v>
      </c>
      <c r="AA296" s="4" t="s">
        <v>41</v>
      </c>
      <c r="AB296" s="5" t="s">
        <v>1392</v>
      </c>
      <c r="AC296">
        <f>COUNTIF(Sheet1!$A$1:$A$50,Firms!A296)</f>
        <v>0</v>
      </c>
    </row>
    <row r="297" spans="1:30" ht="15" hidden="1" customHeight="1" x14ac:dyDescent="0.45">
      <c r="A297" s="6" t="s">
        <v>1393</v>
      </c>
      <c r="B297" s="6" t="s">
        <v>29</v>
      </c>
      <c r="C297" s="6"/>
      <c r="D297" s="6"/>
      <c r="E297" s="6" t="s">
        <v>1394</v>
      </c>
      <c r="F297" s="6" t="s">
        <v>31</v>
      </c>
      <c r="G297" s="6" t="s">
        <v>58</v>
      </c>
      <c r="H297" s="6"/>
      <c r="I297" s="6"/>
      <c r="J297" s="6"/>
      <c r="K297" s="6"/>
      <c r="L297" s="6" t="s">
        <v>572</v>
      </c>
      <c r="M297" s="6"/>
      <c r="N297" s="6"/>
      <c r="O297" s="6" t="s">
        <v>32</v>
      </c>
      <c r="P297" s="6" t="s">
        <v>111</v>
      </c>
      <c r="Q297" s="6"/>
      <c r="R297" s="6"/>
      <c r="S297" s="6"/>
      <c r="T297" s="6"/>
      <c r="U297" s="6" t="s">
        <v>35</v>
      </c>
      <c r="V297" s="6"/>
      <c r="W297" s="6"/>
      <c r="X297" s="6" t="s">
        <v>63</v>
      </c>
      <c r="Y297" s="6" t="s">
        <v>39</v>
      </c>
      <c r="Z297" s="6" t="s">
        <v>40</v>
      </c>
      <c r="AA297" s="6" t="s">
        <v>41</v>
      </c>
      <c r="AB297" s="7" t="s">
        <v>1395</v>
      </c>
      <c r="AC297">
        <f>COUNTIF(Sheet1!$A$1:$A$50,Firms!A297)</f>
        <v>0</v>
      </c>
    </row>
    <row r="298" spans="1:30" ht="15" hidden="1" customHeight="1" x14ac:dyDescent="0.45">
      <c r="A298" s="4" t="s">
        <v>1396</v>
      </c>
      <c r="B298" s="4" t="s">
        <v>44</v>
      </c>
      <c r="C298" s="4"/>
      <c r="D298" s="4"/>
      <c r="E298" s="4" t="s">
        <v>1397</v>
      </c>
      <c r="F298" s="4"/>
      <c r="G298" s="4"/>
      <c r="H298" s="4"/>
      <c r="I298" s="4"/>
      <c r="J298" s="4"/>
      <c r="K298" s="4"/>
      <c r="L298" s="4"/>
      <c r="M298" s="4"/>
      <c r="N298" s="4"/>
      <c r="O298" s="4"/>
      <c r="P298" s="4" t="s">
        <v>105</v>
      </c>
      <c r="Q298" s="4"/>
      <c r="R298" s="4"/>
      <c r="S298" s="4"/>
      <c r="T298" s="4"/>
      <c r="U298" s="4" t="s">
        <v>35</v>
      </c>
      <c r="V298" s="4"/>
      <c r="W298" s="4"/>
      <c r="X298" s="4" t="s">
        <v>47</v>
      </c>
      <c r="Y298" s="4" t="s">
        <v>48</v>
      </c>
      <c r="Z298" s="4" t="s">
        <v>40</v>
      </c>
      <c r="AA298" s="4" t="s">
        <v>41</v>
      </c>
      <c r="AB298" s="5" t="s">
        <v>1398</v>
      </c>
      <c r="AC298">
        <f>COUNTIF(Sheet1!$A$1:$A$50,Firms!A298)</f>
        <v>0</v>
      </c>
    </row>
    <row r="299" spans="1:30" ht="15" hidden="1" customHeight="1" x14ac:dyDescent="0.45">
      <c r="A299" s="2" t="s">
        <v>1399</v>
      </c>
      <c r="B299" s="2" t="s">
        <v>29</v>
      </c>
      <c r="C299" s="2"/>
      <c r="D299" s="2"/>
      <c r="E299" s="2" t="s">
        <v>1400</v>
      </c>
      <c r="F299" s="2"/>
      <c r="G299" s="2"/>
      <c r="H299" s="2"/>
      <c r="I299" s="2"/>
      <c r="J299" s="2"/>
      <c r="K299" s="2"/>
      <c r="L299" s="2"/>
      <c r="M299" s="2"/>
      <c r="N299" s="2"/>
      <c r="O299" s="2" t="s">
        <v>32</v>
      </c>
      <c r="P299" s="2" t="s">
        <v>73</v>
      </c>
      <c r="Q299" s="2"/>
      <c r="R299" s="2"/>
      <c r="S299" s="2"/>
      <c r="T299" s="2" t="s">
        <v>1401</v>
      </c>
      <c r="U299" s="2" t="s">
        <v>35</v>
      </c>
      <c r="V299" s="2"/>
      <c r="W299" s="2"/>
      <c r="X299" s="2" t="s">
        <v>38</v>
      </c>
      <c r="Y299" s="2" t="s">
        <v>39</v>
      </c>
      <c r="Z299" s="2" t="s">
        <v>40</v>
      </c>
      <c r="AA299" s="2" t="s">
        <v>41</v>
      </c>
      <c r="AB299" s="3" t="s">
        <v>1402</v>
      </c>
      <c r="AC299">
        <f>COUNTIF(Sheet1!$A$1:$A$50,Firms!A299)</f>
        <v>0</v>
      </c>
    </row>
    <row r="300" spans="1:30" ht="15" hidden="1" customHeight="1" x14ac:dyDescent="0.45">
      <c r="A300" s="4" t="s">
        <v>1403</v>
      </c>
      <c r="B300" s="4" t="s">
        <v>44</v>
      </c>
      <c r="C300" s="4"/>
      <c r="D300" s="4"/>
      <c r="E300" s="4" t="s">
        <v>1404</v>
      </c>
      <c r="F300" s="4"/>
      <c r="G300" s="4"/>
      <c r="H300" s="4"/>
      <c r="I300" s="4"/>
      <c r="J300" s="4"/>
      <c r="K300" s="4"/>
      <c r="L300" s="4"/>
      <c r="M300" s="4"/>
      <c r="N300" s="4"/>
      <c r="O300" s="4"/>
      <c r="P300" s="4"/>
      <c r="Q300" s="4"/>
      <c r="R300" s="4"/>
      <c r="S300" s="4"/>
      <c r="T300" s="4" t="s">
        <v>1405</v>
      </c>
      <c r="U300" s="4" t="s">
        <v>35</v>
      </c>
      <c r="V300" s="4"/>
      <c r="W300" s="4"/>
      <c r="X300" s="4" t="s">
        <v>47</v>
      </c>
      <c r="Y300" s="4" t="s">
        <v>48</v>
      </c>
      <c r="Z300" s="4" t="s">
        <v>40</v>
      </c>
      <c r="AA300" s="4" t="s">
        <v>41</v>
      </c>
      <c r="AB300" s="5" t="s">
        <v>1406</v>
      </c>
      <c r="AC300">
        <f>COUNTIF(Sheet1!$A$1:$A$50,Firms!A300)</f>
        <v>0</v>
      </c>
    </row>
    <row r="301" spans="1:30" ht="15" hidden="1" customHeight="1" x14ac:dyDescent="0.45">
      <c r="A301" s="4" t="s">
        <v>1407</v>
      </c>
      <c r="B301" s="4" t="s">
        <v>29</v>
      </c>
      <c r="C301" s="4"/>
      <c r="D301" s="4"/>
      <c r="E301" s="4" t="s">
        <v>1408</v>
      </c>
      <c r="F301" s="4"/>
      <c r="G301" s="4"/>
      <c r="H301" s="4"/>
      <c r="I301" s="4"/>
      <c r="J301" s="4"/>
      <c r="K301" s="4"/>
      <c r="L301" s="4"/>
      <c r="M301" s="4"/>
      <c r="N301" s="4"/>
      <c r="O301" s="4" t="s">
        <v>32</v>
      </c>
      <c r="P301" s="4" t="s">
        <v>158</v>
      </c>
      <c r="Q301" s="4"/>
      <c r="R301" s="4"/>
      <c r="S301" s="4"/>
      <c r="T301" s="4" t="s">
        <v>1409</v>
      </c>
      <c r="U301" s="4" t="s">
        <v>35</v>
      </c>
      <c r="V301" s="4"/>
      <c r="W301" s="4"/>
      <c r="X301" s="4" t="s">
        <v>38</v>
      </c>
      <c r="Y301" s="4" t="s">
        <v>48</v>
      </c>
      <c r="Z301" s="4" t="s">
        <v>40</v>
      </c>
      <c r="AA301" s="4" t="s">
        <v>41</v>
      </c>
      <c r="AB301" s="5" t="s">
        <v>1410</v>
      </c>
      <c r="AC301">
        <f>COUNTIF(Sheet1!$A$1:$A$50,Firms!A301)</f>
        <v>0</v>
      </c>
    </row>
    <row r="302" spans="1:30" ht="15" hidden="1" customHeight="1" x14ac:dyDescent="0.45">
      <c r="A302" s="2" t="s">
        <v>1411</v>
      </c>
      <c r="B302" s="2" t="s">
        <v>29</v>
      </c>
      <c r="C302" s="2"/>
      <c r="D302" s="2" t="s">
        <v>1412</v>
      </c>
      <c r="E302" s="2" t="s">
        <v>1413</v>
      </c>
      <c r="F302" s="2" t="s">
        <v>81</v>
      </c>
      <c r="G302" s="2"/>
      <c r="H302" s="2"/>
      <c r="I302" s="2"/>
      <c r="J302" s="2"/>
      <c r="K302" s="2"/>
      <c r="L302" s="2"/>
      <c r="M302" s="2"/>
      <c r="N302" s="2"/>
      <c r="O302" s="2" t="s">
        <v>32</v>
      </c>
      <c r="P302" s="2" t="s">
        <v>1358</v>
      </c>
      <c r="Q302" s="2"/>
      <c r="R302" s="2"/>
      <c r="S302" s="2"/>
      <c r="T302" s="2" t="s">
        <v>1414</v>
      </c>
      <c r="U302" s="2" t="s">
        <v>35</v>
      </c>
      <c r="V302" s="2"/>
      <c r="W302" s="2"/>
      <c r="X302" s="2" t="s">
        <v>38</v>
      </c>
      <c r="Y302" s="2" t="s">
        <v>39</v>
      </c>
      <c r="Z302" s="2" t="s">
        <v>40</v>
      </c>
      <c r="AA302" s="2" t="s">
        <v>41</v>
      </c>
      <c r="AB302" s="3" t="s">
        <v>1415</v>
      </c>
      <c r="AC302">
        <f>COUNTIF(Sheet1!$A$1:$A$50,Firms!A302)</f>
        <v>0</v>
      </c>
    </row>
    <row r="303" spans="1:30" ht="15" hidden="1" customHeight="1" x14ac:dyDescent="0.45">
      <c r="A303" s="6" t="s">
        <v>1416</v>
      </c>
      <c r="B303" s="6" t="s">
        <v>29</v>
      </c>
      <c r="C303" s="6"/>
      <c r="D303" s="6" t="s">
        <v>388</v>
      </c>
      <c r="E303" s="6" t="s">
        <v>1417</v>
      </c>
      <c r="F303" s="6" t="s">
        <v>31</v>
      </c>
      <c r="G303" s="6"/>
      <c r="H303" s="6"/>
      <c r="I303" s="6"/>
      <c r="J303" s="6"/>
      <c r="K303" s="6" t="s">
        <v>1418</v>
      </c>
      <c r="L303" s="6" t="s">
        <v>1419</v>
      </c>
      <c r="M303" s="6" t="s">
        <v>110</v>
      </c>
      <c r="N303" s="6" t="s">
        <v>324</v>
      </c>
      <c r="O303" s="6" t="s">
        <v>916</v>
      </c>
      <c r="P303" s="6" t="s">
        <v>1420</v>
      </c>
      <c r="Q303" s="6"/>
      <c r="R303" s="6"/>
      <c r="S303" s="6"/>
      <c r="T303" s="6" t="s">
        <v>768</v>
      </c>
      <c r="U303" s="6" t="s">
        <v>35</v>
      </c>
      <c r="V303" s="6" t="s">
        <v>154</v>
      </c>
      <c r="W303" s="6"/>
      <c r="X303" s="6" t="s">
        <v>63</v>
      </c>
      <c r="Y303" s="6" t="s">
        <v>39</v>
      </c>
      <c r="Z303" s="6" t="s">
        <v>40</v>
      </c>
      <c r="AA303" s="6" t="s">
        <v>41</v>
      </c>
      <c r="AB303" s="7" t="s">
        <v>1421</v>
      </c>
      <c r="AC303">
        <f>COUNTIF(Sheet1!$A$1:$A$50,Firms!A303)</f>
        <v>0</v>
      </c>
    </row>
    <row r="304" spans="1:30" ht="15" hidden="1" customHeight="1" x14ac:dyDescent="0.45">
      <c r="A304" s="6" t="s">
        <v>1422</v>
      </c>
      <c r="B304" s="6" t="s">
        <v>29</v>
      </c>
      <c r="C304" s="6" t="s">
        <v>132</v>
      </c>
      <c r="D304" s="6" t="s">
        <v>163</v>
      </c>
      <c r="E304" s="6" t="s">
        <v>1423</v>
      </c>
      <c r="F304" s="6" t="s">
        <v>81</v>
      </c>
      <c r="G304" s="6"/>
      <c r="H304" s="6"/>
      <c r="I304" s="6" t="s">
        <v>469</v>
      </c>
      <c r="J304" s="6" t="s">
        <v>110</v>
      </c>
      <c r="K304" s="6"/>
      <c r="L304" s="6"/>
      <c r="M304" s="6"/>
      <c r="N304" s="6"/>
      <c r="O304" s="6" t="s">
        <v>32</v>
      </c>
      <c r="P304" s="6" t="s">
        <v>1424</v>
      </c>
      <c r="Q304" s="6"/>
      <c r="R304" s="6"/>
      <c r="S304" s="6"/>
      <c r="T304" s="6" t="s">
        <v>258</v>
      </c>
      <c r="U304" s="6" t="s">
        <v>35</v>
      </c>
      <c r="V304" s="6"/>
      <c r="W304" s="6"/>
      <c r="X304" s="6" t="s">
        <v>63</v>
      </c>
      <c r="Y304" s="6" t="s">
        <v>39</v>
      </c>
      <c r="Z304" s="6" t="s">
        <v>40</v>
      </c>
      <c r="AA304" s="6" t="s">
        <v>41</v>
      </c>
      <c r="AB304" s="7" t="s">
        <v>1425</v>
      </c>
      <c r="AC304">
        <f>COUNTIF(Sheet1!$A$1:$A$50,Firms!A304)</f>
        <v>0</v>
      </c>
    </row>
    <row r="305" spans="1:30" ht="15" hidden="1" customHeight="1" x14ac:dyDescent="0.45">
      <c r="A305" s="6" t="s">
        <v>1426</v>
      </c>
      <c r="B305" s="6" t="s">
        <v>29</v>
      </c>
      <c r="C305" s="6" t="s">
        <v>132</v>
      </c>
      <c r="D305" s="6" t="s">
        <v>133</v>
      </c>
      <c r="E305" s="6" t="s">
        <v>1427</v>
      </c>
      <c r="F305" s="6" t="s">
        <v>31</v>
      </c>
      <c r="G305" s="6"/>
      <c r="H305" s="6"/>
      <c r="I305" s="6" t="s">
        <v>69</v>
      </c>
      <c r="J305" s="6" t="s">
        <v>58</v>
      </c>
      <c r="K305" s="6"/>
      <c r="L305" s="6"/>
      <c r="M305" s="6"/>
      <c r="N305" s="6"/>
      <c r="O305" s="6" t="s">
        <v>82</v>
      </c>
      <c r="P305" s="6" t="s">
        <v>1428</v>
      </c>
      <c r="Q305" s="6"/>
      <c r="R305" s="6"/>
      <c r="S305" s="6"/>
      <c r="T305" s="6"/>
      <c r="U305" s="6" t="s">
        <v>35</v>
      </c>
      <c r="V305" s="6" t="s">
        <v>1429</v>
      </c>
      <c r="W305" s="6"/>
      <c r="X305" s="6" t="s">
        <v>63</v>
      </c>
      <c r="Y305" s="6" t="s">
        <v>39</v>
      </c>
      <c r="Z305" s="6" t="s">
        <v>40</v>
      </c>
      <c r="AA305" s="6" t="s">
        <v>41</v>
      </c>
      <c r="AB305" s="7" t="s">
        <v>1430</v>
      </c>
      <c r="AC305">
        <f>COUNTIF(Sheet1!$A$1:$A$50,Firms!A305)</f>
        <v>0</v>
      </c>
    </row>
    <row r="306" spans="1:30" ht="15" hidden="1" customHeight="1" x14ac:dyDescent="0.45">
      <c r="A306" s="4" t="s">
        <v>1431</v>
      </c>
      <c r="B306" s="4" t="s">
        <v>29</v>
      </c>
      <c r="C306" s="4"/>
      <c r="D306" s="4"/>
      <c r="E306" s="4" t="s">
        <v>1432</v>
      </c>
      <c r="F306" s="4"/>
      <c r="G306" s="4"/>
      <c r="H306" s="4"/>
      <c r="I306" s="4"/>
      <c r="J306" s="4"/>
      <c r="K306" s="4"/>
      <c r="L306" s="4"/>
      <c r="M306" s="4"/>
      <c r="N306" s="4"/>
      <c r="O306" s="4"/>
      <c r="P306" s="4" t="s">
        <v>1433</v>
      </c>
      <c r="Q306" s="4"/>
      <c r="R306" s="4"/>
      <c r="S306" s="4"/>
      <c r="T306" s="4" t="s">
        <v>1434</v>
      </c>
      <c r="U306" s="4" t="s">
        <v>35</v>
      </c>
      <c r="V306" s="4"/>
      <c r="W306" s="4" t="s">
        <v>1435</v>
      </c>
      <c r="X306" s="4" t="s">
        <v>47</v>
      </c>
      <c r="Y306" s="4" t="s">
        <v>48</v>
      </c>
      <c r="Z306" s="4" t="s">
        <v>40</v>
      </c>
      <c r="AA306" s="4" t="s">
        <v>41</v>
      </c>
      <c r="AB306" s="5" t="s">
        <v>1436</v>
      </c>
      <c r="AC306">
        <f>COUNTIF(Sheet1!$A$1:$A$50,Firms!A306)</f>
        <v>0</v>
      </c>
    </row>
    <row r="307" spans="1:30" ht="15" hidden="1" customHeight="1" x14ac:dyDescent="0.45">
      <c r="A307" s="4" t="s">
        <v>1437</v>
      </c>
      <c r="B307" s="4" t="s">
        <v>44</v>
      </c>
      <c r="C307" s="4"/>
      <c r="D307" s="4"/>
      <c r="E307" s="4" t="s">
        <v>1438</v>
      </c>
      <c r="F307" s="4"/>
      <c r="G307" s="4"/>
      <c r="H307" s="4"/>
      <c r="I307" s="4"/>
      <c r="J307" s="4"/>
      <c r="K307" s="4"/>
      <c r="L307" s="4"/>
      <c r="M307" s="4"/>
      <c r="N307" s="4"/>
      <c r="O307" s="4"/>
      <c r="P307" s="4" t="s">
        <v>226</v>
      </c>
      <c r="Q307" s="4"/>
      <c r="R307" s="4"/>
      <c r="S307" s="4"/>
      <c r="T307" s="4"/>
      <c r="U307" s="4" t="s">
        <v>35</v>
      </c>
      <c r="V307" s="4"/>
      <c r="W307" s="4"/>
      <c r="X307" s="4" t="s">
        <v>47</v>
      </c>
      <c r="Y307" s="4" t="s">
        <v>48</v>
      </c>
      <c r="Z307" s="4" t="s">
        <v>40</v>
      </c>
      <c r="AA307" s="4" t="s">
        <v>41</v>
      </c>
      <c r="AB307" s="5" t="s">
        <v>1439</v>
      </c>
      <c r="AC307">
        <f>COUNTIF(Sheet1!$A$1:$A$50,Firms!A307)</f>
        <v>0</v>
      </c>
    </row>
    <row r="308" spans="1:30" ht="15" hidden="1" customHeight="1" x14ac:dyDescent="0.45">
      <c r="A308" s="4" t="s">
        <v>1440</v>
      </c>
      <c r="B308" s="4" t="s">
        <v>44</v>
      </c>
      <c r="C308" s="4"/>
      <c r="D308" s="4"/>
      <c r="E308" s="4" t="s">
        <v>1441</v>
      </c>
      <c r="F308" s="4"/>
      <c r="G308" s="4"/>
      <c r="H308" s="4"/>
      <c r="I308" s="4"/>
      <c r="J308" s="4"/>
      <c r="K308" s="4"/>
      <c r="L308" s="4"/>
      <c r="M308" s="4"/>
      <c r="N308" s="4"/>
      <c r="O308" s="4"/>
      <c r="P308" s="4"/>
      <c r="Q308" s="4"/>
      <c r="R308" s="4"/>
      <c r="S308" s="4"/>
      <c r="T308" s="4" t="s">
        <v>1442</v>
      </c>
      <c r="U308" s="4" t="s">
        <v>35</v>
      </c>
      <c r="V308" s="4"/>
      <c r="W308" s="4"/>
      <c r="X308" s="4" t="s">
        <v>47</v>
      </c>
      <c r="Y308" s="4" t="s">
        <v>48</v>
      </c>
      <c r="Z308" s="4" t="s">
        <v>40</v>
      </c>
      <c r="AA308" s="4" t="s">
        <v>41</v>
      </c>
      <c r="AB308" s="5" t="s">
        <v>1443</v>
      </c>
      <c r="AC308">
        <f>COUNTIF(Sheet1!$A$1:$A$50,Firms!A308)</f>
        <v>0</v>
      </c>
    </row>
    <row r="309" spans="1:30" ht="15" hidden="1" customHeight="1" x14ac:dyDescent="0.45">
      <c r="A309" s="2" t="s">
        <v>1444</v>
      </c>
      <c r="B309" s="2" t="s">
        <v>29</v>
      </c>
      <c r="C309" s="2"/>
      <c r="D309" s="2" t="s">
        <v>337</v>
      </c>
      <c r="E309" s="2" t="s">
        <v>1445</v>
      </c>
      <c r="F309" s="2" t="s">
        <v>81</v>
      </c>
      <c r="G309" s="2"/>
      <c r="H309" s="2"/>
      <c r="I309" s="2"/>
      <c r="J309" s="2"/>
      <c r="K309" s="2"/>
      <c r="L309" s="2"/>
      <c r="M309" s="2"/>
      <c r="N309" s="2"/>
      <c r="O309" s="2" t="s">
        <v>32</v>
      </c>
      <c r="P309" s="2" t="s">
        <v>111</v>
      </c>
      <c r="Q309" s="2"/>
      <c r="R309" s="2"/>
      <c r="S309" s="2"/>
      <c r="T309" s="2"/>
      <c r="U309" s="2" t="s">
        <v>35</v>
      </c>
      <c r="V309" s="2"/>
      <c r="W309" s="2"/>
      <c r="X309" s="2" t="s">
        <v>38</v>
      </c>
      <c r="Y309" s="2" t="s">
        <v>39</v>
      </c>
      <c r="Z309" s="2" t="s">
        <v>40</v>
      </c>
      <c r="AA309" s="2" t="s">
        <v>41</v>
      </c>
      <c r="AB309" s="3" t="s">
        <v>1446</v>
      </c>
      <c r="AC309">
        <f>COUNTIF(Sheet1!$A$1:$A$50,Firms!A309)</f>
        <v>0</v>
      </c>
    </row>
    <row r="310" spans="1:30" ht="15" hidden="1" customHeight="1" x14ac:dyDescent="0.45">
      <c r="A310" s="4" t="s">
        <v>1447</v>
      </c>
      <c r="B310" s="4" t="s">
        <v>29</v>
      </c>
      <c r="C310" s="4" t="s">
        <v>1073</v>
      </c>
      <c r="D310" s="4" t="s">
        <v>1074</v>
      </c>
      <c r="E310" s="4" t="s">
        <v>1448</v>
      </c>
      <c r="F310" s="4" t="s">
        <v>48</v>
      </c>
      <c r="G310" s="4"/>
      <c r="H310" s="4"/>
      <c r="I310" s="4"/>
      <c r="J310" s="4"/>
      <c r="K310" s="4"/>
      <c r="L310" s="4"/>
      <c r="M310" s="4"/>
      <c r="N310" s="4"/>
      <c r="O310" s="4"/>
      <c r="P310" s="4" t="s">
        <v>396</v>
      </c>
      <c r="Q310" s="4"/>
      <c r="R310" s="4"/>
      <c r="S310" s="4"/>
      <c r="T310" s="4"/>
      <c r="U310" s="4" t="s">
        <v>35</v>
      </c>
      <c r="V310" s="4"/>
      <c r="W310" s="4"/>
      <c r="X310" s="4" t="s">
        <v>47</v>
      </c>
      <c r="Y310" s="4" t="s">
        <v>48</v>
      </c>
      <c r="Z310" s="4" t="s">
        <v>40</v>
      </c>
      <c r="AA310" s="4" t="s">
        <v>41</v>
      </c>
      <c r="AB310" s="5" t="s">
        <v>1449</v>
      </c>
      <c r="AC310">
        <f>COUNTIF(Sheet1!$A$1:$A$50,Firms!A310)</f>
        <v>0</v>
      </c>
    </row>
    <row r="311" spans="1:30" ht="15" customHeight="1" x14ac:dyDescent="0.45">
      <c r="A311" s="6" t="s">
        <v>1450</v>
      </c>
      <c r="B311" s="6" t="s">
        <v>29</v>
      </c>
      <c r="C311" s="6"/>
      <c r="D311" s="6"/>
      <c r="E311" s="6" t="s">
        <v>1451</v>
      </c>
      <c r="F311" s="6" t="s">
        <v>31</v>
      </c>
      <c r="G311" s="6"/>
      <c r="H311" s="6"/>
      <c r="I311" s="6" t="s">
        <v>54</v>
      </c>
      <c r="J311" s="6" t="s">
        <v>56</v>
      </c>
      <c r="K311" s="6" t="s">
        <v>55</v>
      </c>
      <c r="L311" s="6" t="s">
        <v>1452</v>
      </c>
      <c r="M311" s="6"/>
      <c r="N311" s="6"/>
      <c r="O311" s="6" t="s">
        <v>72</v>
      </c>
      <c r="P311" s="6" t="s">
        <v>410</v>
      </c>
      <c r="Q311" s="6" t="s">
        <v>1453</v>
      </c>
      <c r="R311" s="6"/>
      <c r="S311" s="6"/>
      <c r="T311" s="6" t="s">
        <v>1454</v>
      </c>
      <c r="U311" s="6" t="s">
        <v>35</v>
      </c>
      <c r="V311" s="6" t="s">
        <v>1455</v>
      </c>
      <c r="W311" s="6" t="s">
        <v>1456</v>
      </c>
      <c r="X311" s="6" t="s">
        <v>63</v>
      </c>
      <c r="Y311" s="6" t="s">
        <v>39</v>
      </c>
      <c r="Z311" s="6" t="s">
        <v>40</v>
      </c>
      <c r="AA311" s="6" t="s">
        <v>41</v>
      </c>
      <c r="AB311" s="7" t="s">
        <v>1457</v>
      </c>
      <c r="AC311">
        <f>COUNTIF(Sheet1!$A$1:$A$50,Firms!A311)</f>
        <v>1</v>
      </c>
      <c r="AD311" t="str">
        <f>SUBSTITUTE(AB311,"Seeded from CapIQ export. Numeric fields are regex first-pass — c","C")</f>
        <v>Crawler will confirm. capiq_description preserved for AI extraction fallback. | [extractor] PE firm with explicit investment criteria on website. Private equity acquisitions $100M-$10B EV across all industries and geographies. Private credit for businesses with $15-75M EBITDA, primarily North America. 73 transactions completed in 2025 (11 platforms, 48 add-ons, 11 divestitures, 3 credit deals). Fund VI closed 2024 at $12.4B. Deal types confirmed: buyout, recaps, and special situations. HQ location not stated on provided pages.</v>
      </c>
    </row>
    <row r="312" spans="1:30" ht="15" hidden="1" customHeight="1" x14ac:dyDescent="0.45">
      <c r="A312" s="6" t="s">
        <v>1458</v>
      </c>
      <c r="B312" s="6" t="s">
        <v>44</v>
      </c>
      <c r="C312" s="6" t="s">
        <v>101</v>
      </c>
      <c r="D312" s="6" t="s">
        <v>557</v>
      </c>
      <c r="E312" s="6" t="s">
        <v>1459</v>
      </c>
      <c r="F312" s="6" t="s">
        <v>31</v>
      </c>
      <c r="G312" s="6"/>
      <c r="H312" s="6"/>
      <c r="I312" s="6"/>
      <c r="J312" s="6"/>
      <c r="K312" s="6" t="s">
        <v>125</v>
      </c>
      <c r="L312" s="6" t="s">
        <v>55</v>
      </c>
      <c r="M312" s="6"/>
      <c r="N312" s="6"/>
      <c r="O312" s="6" t="s">
        <v>44</v>
      </c>
      <c r="P312" s="6" t="s">
        <v>1349</v>
      </c>
      <c r="Q312" s="6"/>
      <c r="R312" s="6"/>
      <c r="S312" s="6"/>
      <c r="T312" s="6"/>
      <c r="U312" s="6" t="s">
        <v>35</v>
      </c>
      <c r="V312" s="6"/>
      <c r="W312" s="6"/>
      <c r="X312" s="6" t="s">
        <v>63</v>
      </c>
      <c r="Y312" s="6" t="s">
        <v>39</v>
      </c>
      <c r="Z312" s="6" t="s">
        <v>40</v>
      </c>
      <c r="AA312" s="6" t="s">
        <v>41</v>
      </c>
      <c r="AB312" s="7" t="s">
        <v>1460</v>
      </c>
      <c r="AC312">
        <f>COUNTIF(Sheet1!$A$1:$A$50,Firms!A312)</f>
        <v>0</v>
      </c>
    </row>
    <row r="313" spans="1:30" ht="15" hidden="1" customHeight="1" x14ac:dyDescent="0.45">
      <c r="A313" s="6" t="s">
        <v>1461</v>
      </c>
      <c r="B313" s="6" t="s">
        <v>29</v>
      </c>
      <c r="C313" s="6"/>
      <c r="D313" s="6"/>
      <c r="E313" s="6" t="s">
        <v>1462</v>
      </c>
      <c r="F313" s="6" t="s">
        <v>31</v>
      </c>
      <c r="G313" s="6"/>
      <c r="H313" s="6"/>
      <c r="I313" s="6" t="s">
        <v>469</v>
      </c>
      <c r="J313" s="6" t="s">
        <v>69</v>
      </c>
      <c r="K313" s="6"/>
      <c r="L313" s="6"/>
      <c r="M313" s="6"/>
      <c r="N313" s="6"/>
      <c r="O313" s="6" t="s">
        <v>32</v>
      </c>
      <c r="P313" s="6" t="s">
        <v>484</v>
      </c>
      <c r="Q313" s="6" t="s">
        <v>1463</v>
      </c>
      <c r="R313" s="6"/>
      <c r="S313" s="6"/>
      <c r="T313" s="6"/>
      <c r="U313" s="6"/>
      <c r="V313" s="6"/>
      <c r="W313" s="6"/>
      <c r="X313" s="6" t="s">
        <v>63</v>
      </c>
      <c r="Y313" s="6" t="s">
        <v>39</v>
      </c>
      <c r="Z313" s="6" t="s">
        <v>40</v>
      </c>
      <c r="AA313" s="6" t="s">
        <v>41</v>
      </c>
      <c r="AB313" s="7" t="s">
        <v>1464</v>
      </c>
      <c r="AC313">
        <f>COUNTIF(Sheet1!$A$1:$A$50,Firms!A313)</f>
        <v>0</v>
      </c>
    </row>
    <row r="314" spans="1:30" ht="15" hidden="1" customHeight="1" x14ac:dyDescent="0.45">
      <c r="A314" s="4" t="s">
        <v>1465</v>
      </c>
      <c r="B314" s="4" t="s">
        <v>291</v>
      </c>
      <c r="C314" s="4" t="s">
        <v>1466</v>
      </c>
      <c r="D314" s="4" t="s">
        <v>725</v>
      </c>
      <c r="E314" s="4" t="s">
        <v>1467</v>
      </c>
      <c r="F314" s="4"/>
      <c r="G314" s="4"/>
      <c r="H314" s="4"/>
      <c r="I314" s="4"/>
      <c r="J314" s="4"/>
      <c r="K314" s="4"/>
      <c r="L314" s="4"/>
      <c r="M314" s="4"/>
      <c r="N314" s="4"/>
      <c r="O314" s="4"/>
      <c r="P314" s="4"/>
      <c r="Q314" s="4"/>
      <c r="R314" s="4"/>
      <c r="S314" s="4"/>
      <c r="T314" s="4"/>
      <c r="U314" s="4"/>
      <c r="V314" s="4"/>
      <c r="W314" s="4"/>
      <c r="X314" s="4" t="s">
        <v>47</v>
      </c>
      <c r="Y314" s="4" t="s">
        <v>48</v>
      </c>
      <c r="Z314" s="4" t="s">
        <v>40</v>
      </c>
      <c r="AA314" s="4" t="s">
        <v>41</v>
      </c>
      <c r="AB314" s="5" t="s">
        <v>1468</v>
      </c>
      <c r="AC314">
        <f>COUNTIF(Sheet1!$A$1:$A$50,Firms!A314)</f>
        <v>0</v>
      </c>
    </row>
    <row r="315" spans="1:30" ht="15" hidden="1" customHeight="1" x14ac:dyDescent="0.45">
      <c r="A315" s="8" t="s">
        <v>1469</v>
      </c>
      <c r="B315" s="8" t="s">
        <v>291</v>
      </c>
      <c r="C315" s="8" t="s">
        <v>1330</v>
      </c>
      <c r="D315" s="8" t="s">
        <v>1470</v>
      </c>
      <c r="E315" s="8" t="s">
        <v>1471</v>
      </c>
      <c r="F315" s="8"/>
      <c r="G315" s="8"/>
      <c r="H315" s="8"/>
      <c r="I315" s="8"/>
      <c r="J315" s="8"/>
      <c r="K315" s="8"/>
      <c r="L315" s="8"/>
      <c r="M315" s="8"/>
      <c r="N315" s="8"/>
      <c r="O315" s="8"/>
      <c r="P315" s="8"/>
      <c r="Q315" s="8"/>
      <c r="R315" s="8"/>
      <c r="S315" s="8"/>
      <c r="T315" s="8" t="s">
        <v>1472</v>
      </c>
      <c r="U315" s="8"/>
      <c r="V315" s="8"/>
      <c r="W315" s="8"/>
      <c r="X315" s="8" t="s">
        <v>47</v>
      </c>
      <c r="Y315" s="8" t="s">
        <v>39</v>
      </c>
      <c r="Z315" s="8" t="s">
        <v>40</v>
      </c>
      <c r="AA315" s="8" t="s">
        <v>41</v>
      </c>
      <c r="AB315" s="9" t="s">
        <v>1473</v>
      </c>
      <c r="AC315">
        <f>COUNTIF(Sheet1!$A$1:$A$50,Firms!A315)</f>
        <v>0</v>
      </c>
    </row>
    <row r="316" spans="1:30" ht="15" hidden="1" customHeight="1" x14ac:dyDescent="0.45">
      <c r="A316" s="2" t="s">
        <v>1474</v>
      </c>
      <c r="B316" s="2" t="s">
        <v>29</v>
      </c>
      <c r="C316" s="2" t="s">
        <v>272</v>
      </c>
      <c r="D316" s="2" t="s">
        <v>273</v>
      </c>
      <c r="E316" s="2" t="s">
        <v>1475</v>
      </c>
      <c r="F316" s="2" t="s">
        <v>81</v>
      </c>
      <c r="G316" s="2"/>
      <c r="H316" s="2"/>
      <c r="I316" s="2" t="s">
        <v>469</v>
      </c>
      <c r="J316" s="2"/>
      <c r="K316" s="2"/>
      <c r="L316" s="2"/>
      <c r="M316" s="2"/>
      <c r="N316" s="2"/>
      <c r="O316" s="2" t="s">
        <v>1476</v>
      </c>
      <c r="P316" s="2" t="s">
        <v>46</v>
      </c>
      <c r="Q316" s="2"/>
      <c r="R316" s="2"/>
      <c r="S316" s="2"/>
      <c r="T316" s="2"/>
      <c r="U316" s="2" t="s">
        <v>35</v>
      </c>
      <c r="V316" s="2"/>
      <c r="W316" s="2" t="s">
        <v>1477</v>
      </c>
      <c r="X316" s="2" t="s">
        <v>38</v>
      </c>
      <c r="Y316" s="2" t="s">
        <v>39</v>
      </c>
      <c r="Z316" s="2" t="s">
        <v>40</v>
      </c>
      <c r="AA316" s="2" t="s">
        <v>41</v>
      </c>
      <c r="AB316" s="3" t="s">
        <v>1478</v>
      </c>
      <c r="AC316">
        <f>COUNTIF(Sheet1!$A$1:$A$50,Firms!A316)</f>
        <v>0</v>
      </c>
    </row>
    <row r="317" spans="1:30" ht="15" hidden="1" customHeight="1" x14ac:dyDescent="0.45">
      <c r="A317" s="2" t="s">
        <v>1479</v>
      </c>
      <c r="B317" s="2" t="s">
        <v>29</v>
      </c>
      <c r="C317" s="2" t="s">
        <v>272</v>
      </c>
      <c r="D317" s="2" t="s">
        <v>273</v>
      </c>
      <c r="E317" s="2" t="s">
        <v>1480</v>
      </c>
      <c r="F317" s="2" t="s">
        <v>81</v>
      </c>
      <c r="G317" s="2"/>
      <c r="H317" s="2"/>
      <c r="I317" s="2"/>
      <c r="J317" s="2"/>
      <c r="K317" s="2"/>
      <c r="L317" s="2"/>
      <c r="M317" s="2"/>
      <c r="N317" s="2"/>
      <c r="O317" s="2" t="s">
        <v>32</v>
      </c>
      <c r="P317" s="2" t="s">
        <v>653</v>
      </c>
      <c r="Q317" s="2"/>
      <c r="R317" s="2"/>
      <c r="S317" s="2"/>
      <c r="T317" s="2" t="s">
        <v>786</v>
      </c>
      <c r="U317" s="2"/>
      <c r="V317" s="2"/>
      <c r="W317" s="2"/>
      <c r="X317" s="2" t="s">
        <v>38</v>
      </c>
      <c r="Y317" s="2" t="s">
        <v>39</v>
      </c>
      <c r="Z317" s="2" t="s">
        <v>40</v>
      </c>
      <c r="AA317" s="2" t="s">
        <v>41</v>
      </c>
      <c r="AB317" s="3" t="s">
        <v>1481</v>
      </c>
      <c r="AC317">
        <f>COUNTIF(Sheet1!$A$1:$A$50,Firms!A317)</f>
        <v>0</v>
      </c>
    </row>
    <row r="318" spans="1:30" ht="15" customHeight="1" x14ac:dyDescent="0.45">
      <c r="A318" s="6" t="s">
        <v>1482</v>
      </c>
      <c r="B318" s="6" t="s">
        <v>291</v>
      </c>
      <c r="C318" s="6" t="s">
        <v>272</v>
      </c>
      <c r="D318" s="6" t="s">
        <v>273</v>
      </c>
      <c r="E318" s="6" t="s">
        <v>1483</v>
      </c>
      <c r="F318" s="6" t="s">
        <v>81</v>
      </c>
      <c r="G318" s="6" t="s">
        <v>192</v>
      </c>
      <c r="H318" s="6" t="s">
        <v>136</v>
      </c>
      <c r="I318" s="6" t="s">
        <v>135</v>
      </c>
      <c r="J318" s="6" t="s">
        <v>54</v>
      </c>
      <c r="K318" s="6"/>
      <c r="L318" s="6"/>
      <c r="M318" s="6" t="s">
        <v>69</v>
      </c>
      <c r="N318" s="6" t="s">
        <v>70</v>
      </c>
      <c r="O318" s="6" t="s">
        <v>1484</v>
      </c>
      <c r="P318" s="6" t="s">
        <v>259</v>
      </c>
      <c r="Q318" s="6" t="s">
        <v>1485</v>
      </c>
      <c r="R318" s="6"/>
      <c r="S318" s="6"/>
      <c r="T318" s="6"/>
      <c r="U318" s="6" t="s">
        <v>35</v>
      </c>
      <c r="V318" s="6"/>
      <c r="W318" s="6"/>
      <c r="X318" s="6" t="s">
        <v>63</v>
      </c>
      <c r="Y318" s="6" t="s">
        <v>39</v>
      </c>
      <c r="Z318" s="6" t="s">
        <v>40</v>
      </c>
      <c r="AA318" s="6" t="s">
        <v>41</v>
      </c>
      <c r="AB318" s="7" t="s">
        <v>1486</v>
      </c>
      <c r="AC318">
        <f>COUNTIF(Sheet1!$A$1:$A$50,Firms!A318)</f>
        <v>1</v>
      </c>
      <c r="AD318" t="str">
        <f>SUBSTITUTE(AB318,"Seeded from CapIQ export. Numeric fields are regex first-pass — c","C")</f>
        <v>Crawler will confirm. capiq_description preserved for AI extraction fallback. | [extractor] Promus Equity Partners is a family office founded in 2010. HQ: Chicago, IL. Focus on lower-middle-market companies with flexible investment mandate. Invests in leveraged buyouts, management buyouts, recaps, majority/minority positions, and growth equity for established businesses. Portfolio includes 20+ companies across business services, consumer products, distribution, education, food &amp; beverage, healthcare, and proprietary industrial products. Explicitly states minority and majority equity participation. No PDF criteria link found.</v>
      </c>
    </row>
    <row r="319" spans="1:30" ht="15" hidden="1" customHeight="1" x14ac:dyDescent="0.45">
      <c r="A319" s="2" t="s">
        <v>1487</v>
      </c>
      <c r="B319" s="2" t="s">
        <v>29</v>
      </c>
      <c r="C319" s="2"/>
      <c r="D319" s="2"/>
      <c r="E319" s="2" t="s">
        <v>1488</v>
      </c>
      <c r="F319" s="2" t="s">
        <v>81</v>
      </c>
      <c r="G319" s="2"/>
      <c r="H319" s="2"/>
      <c r="I319" s="2"/>
      <c r="J319" s="2"/>
      <c r="K319" s="2"/>
      <c r="L319" s="2"/>
      <c r="M319" s="2"/>
      <c r="N319" s="2"/>
      <c r="O319" s="2" t="s">
        <v>32</v>
      </c>
      <c r="P319" s="2" t="s">
        <v>253</v>
      </c>
      <c r="Q319" s="2"/>
      <c r="R319" s="2"/>
      <c r="S319" s="2"/>
      <c r="T319" s="2" t="s">
        <v>1489</v>
      </c>
      <c r="U319" s="2" t="s">
        <v>35</v>
      </c>
      <c r="V319" s="2"/>
      <c r="W319" s="2"/>
      <c r="X319" s="2" t="s">
        <v>38</v>
      </c>
      <c r="Y319" s="2" t="s">
        <v>39</v>
      </c>
      <c r="Z319" s="2" t="s">
        <v>40</v>
      </c>
      <c r="AA319" s="2" t="s">
        <v>41</v>
      </c>
      <c r="AB319" s="3" t="s">
        <v>1490</v>
      </c>
      <c r="AC319">
        <f>COUNTIF(Sheet1!$A$1:$A$50,Firms!A319)</f>
        <v>0</v>
      </c>
    </row>
    <row r="320" spans="1:30" ht="15" hidden="1" customHeight="1" x14ac:dyDescent="0.45">
      <c r="A320" s="6" t="s">
        <v>1491</v>
      </c>
      <c r="B320" s="6" t="s">
        <v>29</v>
      </c>
      <c r="C320" s="6"/>
      <c r="D320" s="6"/>
      <c r="E320" s="6" t="s">
        <v>1492</v>
      </c>
      <c r="F320" s="6" t="s">
        <v>31</v>
      </c>
      <c r="G320" s="6" t="s">
        <v>69</v>
      </c>
      <c r="H320" s="6" t="s">
        <v>55</v>
      </c>
      <c r="I320" s="6" t="s">
        <v>697</v>
      </c>
      <c r="J320" s="6" t="s">
        <v>192</v>
      </c>
      <c r="K320" s="6" t="s">
        <v>192</v>
      </c>
      <c r="L320" s="6" t="s">
        <v>55</v>
      </c>
      <c r="M320" s="6" t="s">
        <v>135</v>
      </c>
      <c r="N320" s="6" t="s">
        <v>54</v>
      </c>
      <c r="O320" s="6" t="s">
        <v>895</v>
      </c>
      <c r="P320" s="6" t="s">
        <v>424</v>
      </c>
      <c r="Q320" s="6"/>
      <c r="R320" s="6"/>
      <c r="S320" s="6"/>
      <c r="T320" s="6" t="s">
        <v>1493</v>
      </c>
      <c r="U320" s="6" t="s">
        <v>35</v>
      </c>
      <c r="V320" s="6"/>
      <c r="W320" s="6" t="s">
        <v>1494</v>
      </c>
      <c r="X320" s="6" t="s">
        <v>63</v>
      </c>
      <c r="Y320" s="6" t="s">
        <v>39</v>
      </c>
      <c r="Z320" s="6" t="s">
        <v>40</v>
      </c>
      <c r="AA320" s="6" t="s">
        <v>41</v>
      </c>
      <c r="AB320" s="7" t="s">
        <v>1495</v>
      </c>
      <c r="AC320">
        <f>COUNTIF(Sheet1!$A$1:$A$50,Firms!A320)</f>
        <v>0</v>
      </c>
    </row>
    <row r="321" spans="1:29" ht="15" hidden="1" customHeight="1" x14ac:dyDescent="0.45">
      <c r="A321" s="2" t="s">
        <v>1496</v>
      </c>
      <c r="B321" s="2" t="s">
        <v>29</v>
      </c>
      <c r="C321" s="2" t="s">
        <v>694</v>
      </c>
      <c r="D321" s="2" t="s">
        <v>695</v>
      </c>
      <c r="E321" s="2" t="s">
        <v>1497</v>
      </c>
      <c r="F321" s="2" t="s">
        <v>81</v>
      </c>
      <c r="G321" s="2"/>
      <c r="H321" s="2"/>
      <c r="I321" s="2"/>
      <c r="J321" s="2"/>
      <c r="K321" s="2"/>
      <c r="L321" s="2"/>
      <c r="M321" s="2"/>
      <c r="N321" s="2"/>
      <c r="O321" s="2" t="s">
        <v>32</v>
      </c>
      <c r="P321" s="2" t="s">
        <v>158</v>
      </c>
      <c r="Q321" s="2"/>
      <c r="R321" s="2"/>
      <c r="S321" s="2"/>
      <c r="T321" s="2"/>
      <c r="U321" s="2" t="s">
        <v>35</v>
      </c>
      <c r="V321" s="2"/>
      <c r="W321" s="2"/>
      <c r="X321" s="2" t="s">
        <v>38</v>
      </c>
      <c r="Y321" s="2" t="s">
        <v>39</v>
      </c>
      <c r="Z321" s="2" t="s">
        <v>40</v>
      </c>
      <c r="AA321" s="2" t="s">
        <v>41</v>
      </c>
      <c r="AB321" s="3" t="s">
        <v>1498</v>
      </c>
      <c r="AC321">
        <f>COUNTIF(Sheet1!$A$1:$A$50,Firms!A321)</f>
        <v>0</v>
      </c>
    </row>
    <row r="322" spans="1:29" ht="15" hidden="1" customHeight="1" x14ac:dyDescent="0.45">
      <c r="A322" s="2" t="s">
        <v>1499</v>
      </c>
      <c r="B322" s="2" t="s">
        <v>29</v>
      </c>
      <c r="C322" s="2" t="s">
        <v>331</v>
      </c>
      <c r="D322" s="2" t="s">
        <v>332</v>
      </c>
      <c r="E322" s="2" t="s">
        <v>1500</v>
      </c>
      <c r="F322" s="2" t="s">
        <v>81</v>
      </c>
      <c r="G322" s="2"/>
      <c r="H322" s="2"/>
      <c r="I322" s="2"/>
      <c r="J322" s="2"/>
      <c r="K322" s="2"/>
      <c r="L322" s="2"/>
      <c r="M322" s="2"/>
      <c r="N322" s="2"/>
      <c r="O322" s="2" t="s">
        <v>32</v>
      </c>
      <c r="P322" s="2" t="s">
        <v>533</v>
      </c>
      <c r="Q322" s="2"/>
      <c r="R322" s="2"/>
      <c r="S322" s="2"/>
      <c r="T322" s="2"/>
      <c r="U322" s="2" t="s">
        <v>35</v>
      </c>
      <c r="V322" s="2"/>
      <c r="W322" s="2"/>
      <c r="X322" s="2" t="s">
        <v>38</v>
      </c>
      <c r="Y322" s="2" t="s">
        <v>39</v>
      </c>
      <c r="Z322" s="2" t="s">
        <v>40</v>
      </c>
      <c r="AA322" s="2" t="s">
        <v>41</v>
      </c>
      <c r="AB322" s="3" t="s">
        <v>1501</v>
      </c>
      <c r="AC322">
        <f>COUNTIF(Sheet1!$A$1:$A$50,Firms!A322)</f>
        <v>0</v>
      </c>
    </row>
    <row r="323" spans="1:29" ht="15" hidden="1" customHeight="1" x14ac:dyDescent="0.45">
      <c r="A323" s="6" t="s">
        <v>1502</v>
      </c>
      <c r="B323" s="6" t="s">
        <v>29</v>
      </c>
      <c r="C323" s="6"/>
      <c r="D323" s="6"/>
      <c r="E323" s="6" t="s">
        <v>1503</v>
      </c>
      <c r="F323" s="6" t="s">
        <v>405</v>
      </c>
      <c r="G323" s="6" t="s">
        <v>192</v>
      </c>
      <c r="H323" s="6" t="s">
        <v>572</v>
      </c>
      <c r="I323" s="6"/>
      <c r="J323" s="6"/>
      <c r="K323" s="6"/>
      <c r="L323" s="6"/>
      <c r="M323" s="6" t="s">
        <v>192</v>
      </c>
      <c r="N323" s="6" t="s">
        <v>110</v>
      </c>
      <c r="O323" s="6" t="s">
        <v>193</v>
      </c>
      <c r="P323" s="6" t="s">
        <v>1504</v>
      </c>
      <c r="Q323" s="6"/>
      <c r="R323" s="6"/>
      <c r="S323" s="6"/>
      <c r="T323" s="6" t="s">
        <v>1505</v>
      </c>
      <c r="U323" s="6" t="s">
        <v>35</v>
      </c>
      <c r="V323" s="6"/>
      <c r="W323" s="6" t="s">
        <v>1502</v>
      </c>
      <c r="X323" s="6" t="s">
        <v>63</v>
      </c>
      <c r="Y323" s="6" t="s">
        <v>39</v>
      </c>
      <c r="Z323" s="6" t="s">
        <v>40</v>
      </c>
      <c r="AA323" s="6" t="s">
        <v>41</v>
      </c>
      <c r="AB323" s="7" t="s">
        <v>1506</v>
      </c>
      <c r="AC323">
        <f>COUNTIF(Sheet1!$A$1:$A$50,Firms!A323)</f>
        <v>0</v>
      </c>
    </row>
    <row r="324" spans="1:29" ht="15" hidden="1" customHeight="1" x14ac:dyDescent="0.45">
      <c r="A324" s="4" t="s">
        <v>1507</v>
      </c>
      <c r="B324" s="4" t="s">
        <v>44</v>
      </c>
      <c r="C324" s="4"/>
      <c r="D324" s="4"/>
      <c r="E324" s="4" t="s">
        <v>1508</v>
      </c>
      <c r="F324" s="4"/>
      <c r="G324" s="4"/>
      <c r="H324" s="4"/>
      <c r="I324" s="4"/>
      <c r="J324" s="4"/>
      <c r="K324" s="4"/>
      <c r="L324" s="4"/>
      <c r="M324" s="4"/>
      <c r="N324" s="4"/>
      <c r="O324" s="4"/>
      <c r="P324" s="4" t="s">
        <v>226</v>
      </c>
      <c r="Q324" s="4"/>
      <c r="R324" s="4"/>
      <c r="S324" s="4"/>
      <c r="T324" s="4" t="s">
        <v>737</v>
      </c>
      <c r="U324" s="4" t="s">
        <v>35</v>
      </c>
      <c r="V324" s="4"/>
      <c r="W324" s="4"/>
      <c r="X324" s="4" t="s">
        <v>47</v>
      </c>
      <c r="Y324" s="4" t="s">
        <v>48</v>
      </c>
      <c r="Z324" s="4" t="s">
        <v>40</v>
      </c>
      <c r="AA324" s="4" t="s">
        <v>41</v>
      </c>
      <c r="AB324" s="5" t="s">
        <v>1509</v>
      </c>
      <c r="AC324">
        <f>COUNTIF(Sheet1!$A$1:$A$50,Firms!A324)</f>
        <v>0</v>
      </c>
    </row>
    <row r="325" spans="1:29" ht="15" hidden="1" customHeight="1" x14ac:dyDescent="0.45">
      <c r="A325" s="2" t="s">
        <v>1510</v>
      </c>
      <c r="B325" s="2" t="s">
        <v>29</v>
      </c>
      <c r="C325" s="2"/>
      <c r="D325" s="2"/>
      <c r="E325" s="2" t="s">
        <v>1511</v>
      </c>
      <c r="F325" s="2" t="s">
        <v>81</v>
      </c>
      <c r="G325" s="2"/>
      <c r="H325" s="2"/>
      <c r="I325" s="2"/>
      <c r="J325" s="2"/>
      <c r="K325" s="2"/>
      <c r="L325" s="2"/>
      <c r="M325" s="2"/>
      <c r="N325" s="2"/>
      <c r="O325" s="2" t="s">
        <v>72</v>
      </c>
      <c r="P325" s="2" t="s">
        <v>279</v>
      </c>
      <c r="Q325" s="2"/>
      <c r="R325" s="2"/>
      <c r="S325" s="2"/>
      <c r="T325" s="2"/>
      <c r="U325" s="2" t="s">
        <v>35</v>
      </c>
      <c r="V325" s="2"/>
      <c r="W325" s="2"/>
      <c r="X325" s="2" t="s">
        <v>38</v>
      </c>
      <c r="Y325" s="2" t="s">
        <v>39</v>
      </c>
      <c r="Z325" s="2" t="s">
        <v>40</v>
      </c>
      <c r="AA325" s="2" t="s">
        <v>41</v>
      </c>
      <c r="AB325" s="3" t="s">
        <v>1512</v>
      </c>
      <c r="AC325">
        <f>COUNTIF(Sheet1!$A$1:$A$50,Firms!A325)</f>
        <v>0</v>
      </c>
    </row>
    <row r="326" spans="1:29" ht="15" hidden="1" customHeight="1" x14ac:dyDescent="0.45">
      <c r="A326" s="6" t="s">
        <v>1513</v>
      </c>
      <c r="B326" s="6" t="s">
        <v>29</v>
      </c>
      <c r="C326" s="6" t="s">
        <v>1514</v>
      </c>
      <c r="D326" s="6" t="s">
        <v>1515</v>
      </c>
      <c r="E326" s="6" t="s">
        <v>1516</v>
      </c>
      <c r="F326" s="6" t="s">
        <v>31</v>
      </c>
      <c r="G326" s="6" t="s">
        <v>192</v>
      </c>
      <c r="H326" s="6"/>
      <c r="I326" s="6" t="s">
        <v>125</v>
      </c>
      <c r="J326" s="6"/>
      <c r="K326" s="6"/>
      <c r="L326" s="6"/>
      <c r="M326" s="6"/>
      <c r="N326" s="6"/>
      <c r="O326" s="6" t="s">
        <v>32</v>
      </c>
      <c r="P326" s="6" t="s">
        <v>279</v>
      </c>
      <c r="Q326" s="6"/>
      <c r="R326" s="6"/>
      <c r="S326" s="6"/>
      <c r="T326" s="6"/>
      <c r="U326" s="6" t="s">
        <v>35</v>
      </c>
      <c r="V326" s="6"/>
      <c r="W326" s="6"/>
      <c r="X326" s="6" t="s">
        <v>63</v>
      </c>
      <c r="Y326" s="6" t="s">
        <v>39</v>
      </c>
      <c r="Z326" s="6" t="s">
        <v>40</v>
      </c>
      <c r="AA326" s="6" t="s">
        <v>41</v>
      </c>
      <c r="AB326" s="7" t="s">
        <v>1517</v>
      </c>
      <c r="AC326">
        <f>COUNTIF(Sheet1!$A$1:$A$50,Firms!A326)</f>
        <v>0</v>
      </c>
    </row>
    <row r="327" spans="1:29" ht="15" hidden="1" customHeight="1" x14ac:dyDescent="0.45">
      <c r="A327" s="4" t="s">
        <v>1518</v>
      </c>
      <c r="B327" s="4" t="s">
        <v>29</v>
      </c>
      <c r="C327" s="4"/>
      <c r="D327" s="4"/>
      <c r="E327" s="4" t="s">
        <v>1519</v>
      </c>
      <c r="F327" s="4"/>
      <c r="G327" s="4"/>
      <c r="H327" s="4"/>
      <c r="I327" s="4"/>
      <c r="J327" s="4"/>
      <c r="K327" s="4"/>
      <c r="L327" s="4"/>
      <c r="M327" s="4"/>
      <c r="N327" s="4"/>
      <c r="O327" s="4"/>
      <c r="P327" s="4" t="s">
        <v>105</v>
      </c>
      <c r="Q327" s="4"/>
      <c r="R327" s="4"/>
      <c r="S327" s="4"/>
      <c r="T327" s="4"/>
      <c r="U327" s="4" t="s">
        <v>35</v>
      </c>
      <c r="V327" s="4"/>
      <c r="W327" s="4"/>
      <c r="X327" s="4" t="s">
        <v>47</v>
      </c>
      <c r="Y327" s="4" t="s">
        <v>48</v>
      </c>
      <c r="Z327" s="4" t="s">
        <v>40</v>
      </c>
      <c r="AA327" s="4" t="s">
        <v>41</v>
      </c>
      <c r="AB327" s="5" t="s">
        <v>1520</v>
      </c>
      <c r="AC327">
        <f>COUNTIF(Sheet1!$A$1:$A$50,Firms!A327)</f>
        <v>0</v>
      </c>
    </row>
    <row r="328" spans="1:29" ht="15" hidden="1" customHeight="1" x14ac:dyDescent="0.45">
      <c r="A328" s="2" t="s">
        <v>1521</v>
      </c>
      <c r="B328" s="2" t="s">
        <v>29</v>
      </c>
      <c r="C328" s="2" t="s">
        <v>272</v>
      </c>
      <c r="D328" s="2" t="s">
        <v>273</v>
      </c>
      <c r="E328" s="2" t="s">
        <v>1522</v>
      </c>
      <c r="F328" s="2" t="s">
        <v>31</v>
      </c>
      <c r="G328" s="2"/>
      <c r="H328" s="2"/>
      <c r="I328" s="2" t="s">
        <v>69</v>
      </c>
      <c r="J328" s="2"/>
      <c r="K328" s="2"/>
      <c r="L328" s="2"/>
      <c r="M328" s="2"/>
      <c r="N328" s="2"/>
      <c r="O328" s="2" t="s">
        <v>32</v>
      </c>
      <c r="P328" s="2" t="s">
        <v>253</v>
      </c>
      <c r="Q328" s="2" t="s">
        <v>1523</v>
      </c>
      <c r="R328" s="2" t="s">
        <v>1524</v>
      </c>
      <c r="S328" s="2"/>
      <c r="T328" s="2"/>
      <c r="U328" s="2" t="s">
        <v>35</v>
      </c>
      <c r="V328" s="2" t="s">
        <v>1525</v>
      </c>
      <c r="W328" s="2"/>
      <c r="X328" s="2" t="s">
        <v>38</v>
      </c>
      <c r="Y328" s="2" t="s">
        <v>39</v>
      </c>
      <c r="Z328" s="2" t="s">
        <v>40</v>
      </c>
      <c r="AA328" s="2" t="s">
        <v>41</v>
      </c>
      <c r="AB328" s="3" t="s">
        <v>1526</v>
      </c>
      <c r="AC328">
        <f>COUNTIF(Sheet1!$A$1:$A$50,Firms!A328)</f>
        <v>0</v>
      </c>
    </row>
    <row r="329" spans="1:29" ht="15" hidden="1" customHeight="1" x14ac:dyDescent="0.45">
      <c r="A329" s="2" t="s">
        <v>1527</v>
      </c>
      <c r="B329" s="2" t="s">
        <v>44</v>
      </c>
      <c r="C329" s="2" t="s">
        <v>453</v>
      </c>
      <c r="D329" s="2" t="s">
        <v>1024</v>
      </c>
      <c r="E329" s="2" t="s">
        <v>1528</v>
      </c>
      <c r="F329" s="2" t="s">
        <v>81</v>
      </c>
      <c r="G329" s="2"/>
      <c r="H329" s="2"/>
      <c r="I329" s="2"/>
      <c r="J329" s="2"/>
      <c r="K329" s="2"/>
      <c r="L329" s="2"/>
      <c r="M329" s="2"/>
      <c r="N329" s="2"/>
      <c r="O329" s="2" t="s">
        <v>32</v>
      </c>
      <c r="P329" s="2" t="s">
        <v>554</v>
      </c>
      <c r="Q329" s="2"/>
      <c r="R329" s="2"/>
      <c r="S329" s="2"/>
      <c r="T329" s="2"/>
      <c r="U329" s="2"/>
      <c r="V329" s="2"/>
      <c r="W329" s="2"/>
      <c r="X329" s="2" t="s">
        <v>38</v>
      </c>
      <c r="Y329" s="2" t="s">
        <v>39</v>
      </c>
      <c r="Z329" s="2" t="s">
        <v>40</v>
      </c>
      <c r="AA329" s="2" t="s">
        <v>41</v>
      </c>
      <c r="AB329" s="3" t="s">
        <v>1529</v>
      </c>
      <c r="AC329">
        <f>COUNTIF(Sheet1!$A$1:$A$50,Firms!A329)</f>
        <v>0</v>
      </c>
    </row>
    <row r="330" spans="1:29" ht="15" hidden="1" customHeight="1" x14ac:dyDescent="0.45">
      <c r="A330" s="6" t="s">
        <v>1530</v>
      </c>
      <c r="B330" s="6" t="s">
        <v>29</v>
      </c>
      <c r="C330" s="6"/>
      <c r="D330" s="6"/>
      <c r="E330" s="6" t="s">
        <v>1531</v>
      </c>
      <c r="F330" s="6" t="s">
        <v>81</v>
      </c>
      <c r="G330" s="6"/>
      <c r="H330" s="6"/>
      <c r="I330" s="6" t="s">
        <v>125</v>
      </c>
      <c r="J330" s="6" t="s">
        <v>54</v>
      </c>
      <c r="K330" s="6"/>
      <c r="L330" s="6"/>
      <c r="M330" s="6"/>
      <c r="N330" s="6"/>
      <c r="O330" s="6" t="s">
        <v>32</v>
      </c>
      <c r="P330" s="6" t="s">
        <v>1333</v>
      </c>
      <c r="Q330" s="6"/>
      <c r="R330" s="6"/>
      <c r="S330" s="6"/>
      <c r="T330" s="6"/>
      <c r="U330" s="6" t="s">
        <v>35</v>
      </c>
      <c r="V330" s="6"/>
      <c r="W330" s="6"/>
      <c r="X330" s="6" t="s">
        <v>63</v>
      </c>
      <c r="Y330" s="6" t="s">
        <v>39</v>
      </c>
      <c r="Z330" s="6" t="s">
        <v>40</v>
      </c>
      <c r="AA330" s="6" t="s">
        <v>41</v>
      </c>
      <c r="AB330" s="7" t="s">
        <v>1532</v>
      </c>
      <c r="AC330">
        <f>COUNTIF(Sheet1!$A$1:$A$50,Firms!A330)</f>
        <v>0</v>
      </c>
    </row>
    <row r="331" spans="1:29" ht="15" hidden="1" customHeight="1" x14ac:dyDescent="0.45">
      <c r="A331" s="6" t="s">
        <v>1533</v>
      </c>
      <c r="B331" s="6" t="s">
        <v>29</v>
      </c>
      <c r="C331" s="6"/>
      <c r="D331" s="6"/>
      <c r="E331" s="6" t="s">
        <v>1534</v>
      </c>
      <c r="F331" s="6" t="s">
        <v>31</v>
      </c>
      <c r="G331" s="6" t="s">
        <v>1535</v>
      </c>
      <c r="H331" s="6"/>
      <c r="I331" s="6" t="s">
        <v>1536</v>
      </c>
      <c r="J331" s="6" t="s">
        <v>70</v>
      </c>
      <c r="K331" s="6"/>
      <c r="L331" s="6"/>
      <c r="M331" s="6" t="s">
        <v>58</v>
      </c>
      <c r="N331" s="6" t="s">
        <v>55</v>
      </c>
      <c r="O331" s="6" t="s">
        <v>72</v>
      </c>
      <c r="P331" s="6" t="s">
        <v>1537</v>
      </c>
      <c r="Q331" s="6" t="s">
        <v>1538</v>
      </c>
      <c r="R331" s="6" t="s">
        <v>1539</v>
      </c>
      <c r="S331" s="6"/>
      <c r="T331" s="6"/>
      <c r="U331" s="6" t="s">
        <v>35</v>
      </c>
      <c r="V331" s="6"/>
      <c r="W331" s="6"/>
      <c r="X331" s="6" t="s">
        <v>63</v>
      </c>
      <c r="Y331" s="6" t="s">
        <v>39</v>
      </c>
      <c r="Z331" s="6" t="s">
        <v>40</v>
      </c>
      <c r="AA331" s="6" t="s">
        <v>41</v>
      </c>
      <c r="AB331" s="7" t="s">
        <v>1540</v>
      </c>
      <c r="AC331">
        <f>COUNTIF(Sheet1!$A$1:$A$50,Firms!A331)</f>
        <v>0</v>
      </c>
    </row>
    <row r="332" spans="1:29" ht="15" hidden="1" customHeight="1" x14ac:dyDescent="0.45">
      <c r="A332" s="2" t="s">
        <v>1541</v>
      </c>
      <c r="B332" s="2" t="s">
        <v>44</v>
      </c>
      <c r="C332" s="2" t="s">
        <v>370</v>
      </c>
      <c r="D332" s="2" t="s">
        <v>1542</v>
      </c>
      <c r="E332" s="2" t="s">
        <v>1543</v>
      </c>
      <c r="F332" s="2" t="s">
        <v>81</v>
      </c>
      <c r="G332" s="2"/>
      <c r="H332" s="2"/>
      <c r="I332" s="2"/>
      <c r="J332" s="2"/>
      <c r="K332" s="2"/>
      <c r="L332" s="2"/>
      <c r="M332" s="2"/>
      <c r="N332" s="2"/>
      <c r="O332" s="2"/>
      <c r="P332" s="2" t="s">
        <v>1263</v>
      </c>
      <c r="Q332" s="2"/>
      <c r="R332" s="2"/>
      <c r="S332" s="2"/>
      <c r="T332" s="2"/>
      <c r="U332" s="2" t="s">
        <v>35</v>
      </c>
      <c r="V332" s="2"/>
      <c r="W332" s="2"/>
      <c r="X332" s="2" t="s">
        <v>38</v>
      </c>
      <c r="Y332" s="2" t="s">
        <v>39</v>
      </c>
      <c r="Z332" s="2" t="s">
        <v>40</v>
      </c>
      <c r="AA332" s="2" t="s">
        <v>41</v>
      </c>
      <c r="AB332" s="3" t="s">
        <v>1544</v>
      </c>
      <c r="AC332">
        <f>COUNTIF(Sheet1!$A$1:$A$50,Firms!A332)</f>
        <v>0</v>
      </c>
    </row>
    <row r="333" spans="1:29" ht="15" hidden="1" customHeight="1" x14ac:dyDescent="0.45">
      <c r="A333" s="4" t="s">
        <v>1545</v>
      </c>
      <c r="B333" s="4" t="s">
        <v>44</v>
      </c>
      <c r="C333" s="4"/>
      <c r="D333" s="4"/>
      <c r="E333" s="4" t="s">
        <v>1546</v>
      </c>
      <c r="F333" s="4"/>
      <c r="G333" s="4"/>
      <c r="H333" s="4"/>
      <c r="I333" s="4"/>
      <c r="J333" s="4"/>
      <c r="K333" s="4"/>
      <c r="L333" s="4"/>
      <c r="M333" s="4"/>
      <c r="N333" s="4"/>
      <c r="O333" s="4"/>
      <c r="P333" s="4" t="s">
        <v>105</v>
      </c>
      <c r="Q333" s="4"/>
      <c r="R333" s="4"/>
      <c r="S333" s="4"/>
      <c r="T333" s="4"/>
      <c r="U333" s="4" t="s">
        <v>35</v>
      </c>
      <c r="V333" s="4"/>
      <c r="W333" s="4"/>
      <c r="X333" s="4" t="s">
        <v>47</v>
      </c>
      <c r="Y333" s="4" t="s">
        <v>48</v>
      </c>
      <c r="Z333" s="4" t="s">
        <v>40</v>
      </c>
      <c r="AA333" s="4" t="s">
        <v>41</v>
      </c>
      <c r="AB333" s="5" t="s">
        <v>1547</v>
      </c>
      <c r="AC333">
        <f>COUNTIF(Sheet1!$A$1:$A$50,Firms!A333)</f>
        <v>0</v>
      </c>
    </row>
    <row r="334" spans="1:29" ht="15" hidden="1" customHeight="1" x14ac:dyDescent="0.45">
      <c r="A334" s="4" t="s">
        <v>1548</v>
      </c>
      <c r="B334" s="4" t="s">
        <v>44</v>
      </c>
      <c r="C334" s="4"/>
      <c r="D334" s="4"/>
      <c r="E334" s="4" t="s">
        <v>1549</v>
      </c>
      <c r="F334" s="4"/>
      <c r="G334" s="4"/>
      <c r="H334" s="4"/>
      <c r="I334" s="4"/>
      <c r="J334" s="4"/>
      <c r="K334" s="4"/>
      <c r="L334" s="4"/>
      <c r="M334" s="4"/>
      <c r="N334" s="4"/>
      <c r="O334" s="4"/>
      <c r="P334" s="4" t="s">
        <v>226</v>
      </c>
      <c r="Q334" s="4"/>
      <c r="R334" s="4"/>
      <c r="S334" s="4"/>
      <c r="T334" s="4"/>
      <c r="U334" s="4" t="s">
        <v>35</v>
      </c>
      <c r="V334" s="4"/>
      <c r="W334" s="4"/>
      <c r="X334" s="4" t="s">
        <v>47</v>
      </c>
      <c r="Y334" s="4" t="s">
        <v>48</v>
      </c>
      <c r="Z334" s="4" t="s">
        <v>40</v>
      </c>
      <c r="AA334" s="4" t="s">
        <v>41</v>
      </c>
      <c r="AB334" s="5" t="s">
        <v>1550</v>
      </c>
      <c r="AC334">
        <f>COUNTIF(Sheet1!$A$1:$A$50,Firms!A334)</f>
        <v>0</v>
      </c>
    </row>
    <row r="335" spans="1:29" ht="15" hidden="1" customHeight="1" x14ac:dyDescent="0.45">
      <c r="A335" s="2" t="s">
        <v>1551</v>
      </c>
      <c r="B335" s="2" t="s">
        <v>29</v>
      </c>
      <c r="C335" s="2"/>
      <c r="D335" s="2"/>
      <c r="E335" s="2" t="s">
        <v>1552</v>
      </c>
      <c r="F335" s="2"/>
      <c r="G335" s="2"/>
      <c r="H335" s="2"/>
      <c r="I335" s="2"/>
      <c r="J335" s="2"/>
      <c r="K335" s="2"/>
      <c r="L335" s="2"/>
      <c r="M335" s="2"/>
      <c r="N335" s="2"/>
      <c r="O335" s="2" t="s">
        <v>32</v>
      </c>
      <c r="P335" s="2" t="s">
        <v>88</v>
      </c>
      <c r="Q335" s="2"/>
      <c r="R335" s="2"/>
      <c r="S335" s="2"/>
      <c r="T335" s="2" t="s">
        <v>1553</v>
      </c>
      <c r="U335" s="2" t="s">
        <v>35</v>
      </c>
      <c r="V335" s="2"/>
      <c r="W335" s="2"/>
      <c r="X335" s="2" t="s">
        <v>38</v>
      </c>
      <c r="Y335" s="2" t="s">
        <v>39</v>
      </c>
      <c r="Z335" s="2" t="s">
        <v>40</v>
      </c>
      <c r="AA335" s="2" t="s">
        <v>41</v>
      </c>
      <c r="AB335" s="3" t="s">
        <v>1554</v>
      </c>
      <c r="AC335">
        <f>COUNTIF(Sheet1!$A$1:$A$50,Firms!A335)</f>
        <v>0</v>
      </c>
    </row>
    <row r="336" spans="1:29" ht="15" hidden="1" customHeight="1" x14ac:dyDescent="0.45">
      <c r="A336" s="2" t="s">
        <v>1555</v>
      </c>
      <c r="B336" s="2" t="s">
        <v>29</v>
      </c>
      <c r="C336" s="2" t="s">
        <v>162</v>
      </c>
      <c r="D336" s="2" t="s">
        <v>133</v>
      </c>
      <c r="E336" s="2" t="s">
        <v>1556</v>
      </c>
      <c r="F336" s="2" t="s">
        <v>81</v>
      </c>
      <c r="G336" s="2"/>
      <c r="H336" s="2"/>
      <c r="I336" s="2"/>
      <c r="J336" s="2"/>
      <c r="K336" s="2"/>
      <c r="L336" s="2"/>
      <c r="M336" s="2"/>
      <c r="N336" s="2"/>
      <c r="O336" s="2" t="s">
        <v>72</v>
      </c>
      <c r="P336" s="2" t="s">
        <v>1557</v>
      </c>
      <c r="Q336" s="2"/>
      <c r="R336" s="2"/>
      <c r="S336" s="2"/>
      <c r="T336" s="2"/>
      <c r="U336" s="2" t="s">
        <v>35</v>
      </c>
      <c r="V336" s="2"/>
      <c r="W336" s="2"/>
      <c r="X336" s="2" t="s">
        <v>38</v>
      </c>
      <c r="Y336" s="2" t="s">
        <v>39</v>
      </c>
      <c r="Z336" s="2" t="s">
        <v>40</v>
      </c>
      <c r="AA336" s="2" t="s">
        <v>41</v>
      </c>
      <c r="AB336" s="3" t="s">
        <v>1558</v>
      </c>
      <c r="AC336">
        <f>COUNTIF(Sheet1!$A$1:$A$50,Firms!A336)</f>
        <v>0</v>
      </c>
    </row>
    <row r="337" spans="1:29" ht="15" hidden="1" customHeight="1" x14ac:dyDescent="0.45">
      <c r="A337" s="2" t="s">
        <v>1559</v>
      </c>
      <c r="B337" s="2" t="s">
        <v>29</v>
      </c>
      <c r="C337" s="2" t="s">
        <v>438</v>
      </c>
      <c r="D337" s="2" t="s">
        <v>439</v>
      </c>
      <c r="E337" s="2" t="s">
        <v>1560</v>
      </c>
      <c r="F337" s="2" t="s">
        <v>81</v>
      </c>
      <c r="G337" s="2"/>
      <c r="H337" s="2"/>
      <c r="I337" s="2"/>
      <c r="J337" s="2"/>
      <c r="K337" s="2"/>
      <c r="L337" s="2"/>
      <c r="M337" s="2"/>
      <c r="N337" s="2"/>
      <c r="O337" s="2" t="s">
        <v>193</v>
      </c>
      <c r="P337" s="2" t="s">
        <v>351</v>
      </c>
      <c r="Q337" s="2"/>
      <c r="R337" s="2"/>
      <c r="S337" s="2"/>
      <c r="T337" s="2"/>
      <c r="U337" s="2" t="s">
        <v>35</v>
      </c>
      <c r="V337" s="2" t="s">
        <v>154</v>
      </c>
      <c r="W337" s="2"/>
      <c r="X337" s="2" t="s">
        <v>38</v>
      </c>
      <c r="Y337" s="2" t="s">
        <v>39</v>
      </c>
      <c r="Z337" s="2" t="s">
        <v>40</v>
      </c>
      <c r="AA337" s="2" t="s">
        <v>41</v>
      </c>
      <c r="AB337" s="3" t="s">
        <v>1561</v>
      </c>
      <c r="AC337">
        <f>COUNTIF(Sheet1!$A$1:$A$50,Firms!A337)</f>
        <v>0</v>
      </c>
    </row>
    <row r="338" spans="1:29" ht="15" hidden="1" customHeight="1" x14ac:dyDescent="0.45">
      <c r="A338" s="6" t="s">
        <v>1562</v>
      </c>
      <c r="B338" s="6" t="s">
        <v>29</v>
      </c>
      <c r="C338" s="6" t="s">
        <v>331</v>
      </c>
      <c r="D338" s="6" t="s">
        <v>332</v>
      </c>
      <c r="E338" s="6" t="s">
        <v>1563</v>
      </c>
      <c r="F338" s="6" t="s">
        <v>81</v>
      </c>
      <c r="G338" s="6"/>
      <c r="H338" s="6"/>
      <c r="I338" s="6"/>
      <c r="J338" s="6"/>
      <c r="K338" s="6"/>
      <c r="L338" s="6"/>
      <c r="M338" s="6" t="s">
        <v>70</v>
      </c>
      <c r="N338" s="6" t="s">
        <v>136</v>
      </c>
      <c r="O338" s="6" t="s">
        <v>193</v>
      </c>
      <c r="P338" s="6" t="s">
        <v>181</v>
      </c>
      <c r="Q338" s="6"/>
      <c r="R338" s="6"/>
      <c r="S338" s="6"/>
      <c r="T338" s="6" t="s">
        <v>1564</v>
      </c>
      <c r="U338" s="6" t="s">
        <v>35</v>
      </c>
      <c r="V338" s="6" t="s">
        <v>1565</v>
      </c>
      <c r="W338" s="6"/>
      <c r="X338" s="6" t="s">
        <v>63</v>
      </c>
      <c r="Y338" s="6" t="s">
        <v>39</v>
      </c>
      <c r="Z338" s="6" t="s">
        <v>441</v>
      </c>
      <c r="AA338" s="6" t="s">
        <v>41</v>
      </c>
      <c r="AB338" s="7" t="s">
        <v>1566</v>
      </c>
      <c r="AC338">
        <f>COUNTIF(Sheet1!$A$1:$A$50,Firms!A338)</f>
        <v>0</v>
      </c>
    </row>
    <row r="339" spans="1:29" ht="15" hidden="1" customHeight="1" x14ac:dyDescent="0.45">
      <c r="A339" s="6" t="s">
        <v>1567</v>
      </c>
      <c r="B339" s="6" t="s">
        <v>29</v>
      </c>
      <c r="C339" s="6" t="s">
        <v>453</v>
      </c>
      <c r="D339" s="6" t="s">
        <v>1024</v>
      </c>
      <c r="E339" s="6" t="s">
        <v>1568</v>
      </c>
      <c r="F339" s="6" t="s">
        <v>81</v>
      </c>
      <c r="G339" s="6"/>
      <c r="H339" s="6"/>
      <c r="I339" s="6" t="s">
        <v>69</v>
      </c>
      <c r="J339" s="6" t="s">
        <v>110</v>
      </c>
      <c r="K339" s="6"/>
      <c r="L339" s="6" t="s">
        <v>180</v>
      </c>
      <c r="M339" s="6" t="s">
        <v>58</v>
      </c>
      <c r="N339" s="6" t="s">
        <v>136</v>
      </c>
      <c r="O339" s="6" t="s">
        <v>32</v>
      </c>
      <c r="P339" s="6" t="s">
        <v>73</v>
      </c>
      <c r="Q339" s="6"/>
      <c r="R339" s="6"/>
      <c r="S339" s="6"/>
      <c r="T339" s="6" t="s">
        <v>786</v>
      </c>
      <c r="U339" s="6" t="s">
        <v>35</v>
      </c>
      <c r="V339" s="6" t="s">
        <v>1569</v>
      </c>
      <c r="W339" s="6"/>
      <c r="X339" s="6" t="s">
        <v>63</v>
      </c>
      <c r="Y339" s="6" t="s">
        <v>39</v>
      </c>
      <c r="Z339" s="6" t="s">
        <v>40</v>
      </c>
      <c r="AA339" s="6" t="s">
        <v>41</v>
      </c>
      <c r="AB339" s="7" t="s">
        <v>1570</v>
      </c>
      <c r="AC339">
        <f>COUNTIF(Sheet1!$A$1:$A$50,Firms!A339)</f>
        <v>0</v>
      </c>
    </row>
    <row r="340" spans="1:29" ht="15" hidden="1" customHeight="1" x14ac:dyDescent="0.45">
      <c r="A340" s="6" t="s">
        <v>1571</v>
      </c>
      <c r="B340" s="6" t="s">
        <v>29</v>
      </c>
      <c r="C340" s="6" t="s">
        <v>272</v>
      </c>
      <c r="D340" s="6" t="s">
        <v>273</v>
      </c>
      <c r="E340" s="6" t="s">
        <v>1572</v>
      </c>
      <c r="F340" s="6" t="s">
        <v>81</v>
      </c>
      <c r="G340" s="6"/>
      <c r="H340" s="6"/>
      <c r="I340" s="6" t="s">
        <v>69</v>
      </c>
      <c r="J340" s="6" t="s">
        <v>564</v>
      </c>
      <c r="K340" s="6"/>
      <c r="L340" s="6"/>
      <c r="M340" s="6"/>
      <c r="N340" s="6"/>
      <c r="O340" s="6" t="s">
        <v>193</v>
      </c>
      <c r="P340" s="6" t="s">
        <v>279</v>
      </c>
      <c r="Q340" s="6"/>
      <c r="R340" s="6"/>
      <c r="S340" s="6"/>
      <c r="T340" s="6" t="s">
        <v>1573</v>
      </c>
      <c r="U340" s="6" t="s">
        <v>35</v>
      </c>
      <c r="V340" s="6"/>
      <c r="W340" s="6"/>
      <c r="X340" s="6" t="s">
        <v>63</v>
      </c>
      <c r="Y340" s="6" t="s">
        <v>39</v>
      </c>
      <c r="Z340" s="6" t="s">
        <v>40</v>
      </c>
      <c r="AA340" s="6" t="s">
        <v>41</v>
      </c>
      <c r="AB340" s="7" t="s">
        <v>1574</v>
      </c>
      <c r="AC340">
        <f>COUNTIF(Sheet1!$A$1:$A$50,Firms!A340)</f>
        <v>0</v>
      </c>
    </row>
    <row r="341" spans="1:29" ht="15" hidden="1" customHeight="1" x14ac:dyDescent="0.45">
      <c r="A341" s="6" t="s">
        <v>1575</v>
      </c>
      <c r="B341" s="6" t="s">
        <v>29</v>
      </c>
      <c r="C341" s="6" t="s">
        <v>1217</v>
      </c>
      <c r="D341" s="6" t="s">
        <v>1576</v>
      </c>
      <c r="E341" s="6" t="s">
        <v>1577</v>
      </c>
      <c r="F341" s="6" t="s">
        <v>31</v>
      </c>
      <c r="G341" s="6"/>
      <c r="H341" s="6"/>
      <c r="I341" s="6" t="s">
        <v>125</v>
      </c>
      <c r="J341" s="6" t="s">
        <v>418</v>
      </c>
      <c r="K341" s="6"/>
      <c r="L341" s="6"/>
      <c r="M341" s="6"/>
      <c r="N341" s="6"/>
      <c r="O341" s="6" t="s">
        <v>32</v>
      </c>
      <c r="P341" s="6" t="s">
        <v>419</v>
      </c>
      <c r="Q341" s="6"/>
      <c r="R341" s="6"/>
      <c r="S341" s="6"/>
      <c r="T341" s="6"/>
      <c r="U341" s="6" t="s">
        <v>35</v>
      </c>
      <c r="V341" s="6"/>
      <c r="W341" s="6"/>
      <c r="X341" s="6" t="s">
        <v>63</v>
      </c>
      <c r="Y341" s="6" t="s">
        <v>39</v>
      </c>
      <c r="Z341" s="6" t="s">
        <v>40</v>
      </c>
      <c r="AA341" s="6" t="s">
        <v>41</v>
      </c>
      <c r="AB341" s="7" t="s">
        <v>1578</v>
      </c>
      <c r="AC341">
        <f>COUNTIF(Sheet1!$A$1:$A$50,Firms!A341)</f>
        <v>0</v>
      </c>
    </row>
    <row r="342" spans="1:29" ht="15" hidden="1" customHeight="1" x14ac:dyDescent="0.45">
      <c r="A342" s="6" t="s">
        <v>1579</v>
      </c>
      <c r="B342" s="6" t="s">
        <v>29</v>
      </c>
      <c r="C342" s="6"/>
      <c r="D342" s="6"/>
      <c r="E342" s="6" t="s">
        <v>1580</v>
      </c>
      <c r="F342" s="6" t="s">
        <v>81</v>
      </c>
      <c r="G342" s="6" t="s">
        <v>192</v>
      </c>
      <c r="H342" s="6" t="s">
        <v>55</v>
      </c>
      <c r="I342" s="6" t="s">
        <v>125</v>
      </c>
      <c r="J342" s="6" t="s">
        <v>54</v>
      </c>
      <c r="K342" s="6"/>
      <c r="L342" s="6"/>
      <c r="M342" s="6" t="s">
        <v>69</v>
      </c>
      <c r="N342" s="6" t="s">
        <v>70</v>
      </c>
      <c r="O342" s="6" t="s">
        <v>1581</v>
      </c>
      <c r="P342" s="6" t="s">
        <v>259</v>
      </c>
      <c r="Q342" s="6" t="s">
        <v>1582</v>
      </c>
      <c r="R342" s="6"/>
      <c r="S342" s="6"/>
      <c r="T342" s="6" t="s">
        <v>1583</v>
      </c>
      <c r="U342" s="6" t="s">
        <v>35</v>
      </c>
      <c r="V342" s="6" t="s">
        <v>154</v>
      </c>
      <c r="W342" s="6"/>
      <c r="X342" s="6" t="s">
        <v>63</v>
      </c>
      <c r="Y342" s="6" t="s">
        <v>39</v>
      </c>
      <c r="Z342" s="6" t="s">
        <v>40</v>
      </c>
      <c r="AA342" s="6" t="s">
        <v>41</v>
      </c>
      <c r="AB342" s="7" t="s">
        <v>1584</v>
      </c>
      <c r="AC342">
        <f>COUNTIF(Sheet1!$A$1:$A$50,Firms!A342)</f>
        <v>0</v>
      </c>
    </row>
    <row r="343" spans="1:29" ht="15" hidden="1" customHeight="1" x14ac:dyDescent="0.45">
      <c r="A343" s="6" t="s">
        <v>1585</v>
      </c>
      <c r="B343" s="6" t="s">
        <v>291</v>
      </c>
      <c r="C343" s="6"/>
      <c r="D343" s="6"/>
      <c r="E343" s="6" t="s">
        <v>1586</v>
      </c>
      <c r="F343" s="6" t="s">
        <v>31</v>
      </c>
      <c r="G343" s="6"/>
      <c r="H343" s="6"/>
      <c r="I343" s="6" t="s">
        <v>125</v>
      </c>
      <c r="J343" s="6" t="s">
        <v>192</v>
      </c>
      <c r="K343" s="6"/>
      <c r="L343" s="6"/>
      <c r="M343" s="6" t="s">
        <v>69</v>
      </c>
      <c r="N343" s="6"/>
      <c r="O343" s="6" t="s">
        <v>1587</v>
      </c>
      <c r="P343" s="6" t="s">
        <v>1588</v>
      </c>
      <c r="Q343" s="6" t="s">
        <v>424</v>
      </c>
      <c r="R343" s="6"/>
      <c r="S343" s="6"/>
      <c r="T343" s="6"/>
      <c r="U343" s="6"/>
      <c r="V343" s="6"/>
      <c r="W343" s="6"/>
      <c r="X343" s="6" t="s">
        <v>63</v>
      </c>
      <c r="Y343" s="6" t="s">
        <v>39</v>
      </c>
      <c r="Z343" s="6" t="s">
        <v>40</v>
      </c>
      <c r="AA343" s="6" t="s">
        <v>41</v>
      </c>
      <c r="AB343" s="7" t="s">
        <v>1589</v>
      </c>
      <c r="AC343">
        <f>COUNTIF(Sheet1!$A$1:$A$50,Firms!A343)</f>
        <v>0</v>
      </c>
    </row>
    <row r="344" spans="1:29" ht="15" hidden="1" customHeight="1" x14ac:dyDescent="0.45">
      <c r="A344" s="4" t="s">
        <v>1590</v>
      </c>
      <c r="B344" s="4" t="s">
        <v>29</v>
      </c>
      <c r="C344" s="4"/>
      <c r="D344" s="4"/>
      <c r="E344" s="4" t="s">
        <v>1591</v>
      </c>
      <c r="F344" s="4"/>
      <c r="G344" s="4"/>
      <c r="H344" s="4"/>
      <c r="I344" s="4"/>
      <c r="J344" s="4"/>
      <c r="K344" s="4"/>
      <c r="L344" s="4"/>
      <c r="M344" s="4"/>
      <c r="N344" s="4"/>
      <c r="O344" s="4"/>
      <c r="P344" s="4" t="s">
        <v>1592</v>
      </c>
      <c r="Q344" s="4"/>
      <c r="R344" s="4"/>
      <c r="S344" s="4"/>
      <c r="T344" s="4"/>
      <c r="U344" s="4" t="s">
        <v>35</v>
      </c>
      <c r="V344" s="4"/>
      <c r="W344" s="4"/>
      <c r="X344" s="4" t="s">
        <v>47</v>
      </c>
      <c r="Y344" s="4" t="s">
        <v>48</v>
      </c>
      <c r="Z344" s="4" t="s">
        <v>40</v>
      </c>
      <c r="AA344" s="4" t="s">
        <v>41</v>
      </c>
      <c r="AB344" s="5" t="s">
        <v>1593</v>
      </c>
      <c r="AC344">
        <f>COUNTIF(Sheet1!$A$1:$A$50,Firms!A344)</f>
        <v>0</v>
      </c>
    </row>
    <row r="345" spans="1:29" ht="15" hidden="1" customHeight="1" x14ac:dyDescent="0.45">
      <c r="A345" s="4" t="s">
        <v>1594</v>
      </c>
      <c r="B345" s="4" t="s">
        <v>44</v>
      </c>
      <c r="C345" s="4"/>
      <c r="D345" s="4"/>
      <c r="E345" s="4" t="s">
        <v>1595</v>
      </c>
      <c r="F345" s="4"/>
      <c r="G345" s="4"/>
      <c r="H345" s="4"/>
      <c r="I345" s="4"/>
      <c r="J345" s="4"/>
      <c r="K345" s="4"/>
      <c r="L345" s="4"/>
      <c r="M345" s="4"/>
      <c r="N345" s="4"/>
      <c r="O345" s="4"/>
      <c r="P345" s="4" t="s">
        <v>93</v>
      </c>
      <c r="Q345" s="4"/>
      <c r="R345" s="4"/>
      <c r="S345" s="4"/>
      <c r="T345" s="4"/>
      <c r="U345" s="4" t="s">
        <v>35</v>
      </c>
      <c r="V345" s="4"/>
      <c r="W345" s="4"/>
      <c r="X345" s="4" t="s">
        <v>47</v>
      </c>
      <c r="Y345" s="4" t="s">
        <v>48</v>
      </c>
      <c r="Z345" s="4" t="s">
        <v>40</v>
      </c>
      <c r="AA345" s="4" t="s">
        <v>41</v>
      </c>
      <c r="AB345" s="5" t="s">
        <v>1596</v>
      </c>
      <c r="AC345">
        <f>COUNTIF(Sheet1!$A$1:$A$50,Firms!A345)</f>
        <v>0</v>
      </c>
    </row>
    <row r="346" spans="1:29" ht="15" hidden="1" customHeight="1" x14ac:dyDescent="0.45">
      <c r="A346" s="4" t="s">
        <v>1597</v>
      </c>
      <c r="B346" s="4" t="s">
        <v>29</v>
      </c>
      <c r="C346" s="4"/>
      <c r="D346" s="4"/>
      <c r="E346" s="4" t="s">
        <v>1598</v>
      </c>
      <c r="F346" s="4" t="s">
        <v>81</v>
      </c>
      <c r="G346" s="4"/>
      <c r="H346" s="4"/>
      <c r="I346" s="4"/>
      <c r="J346" s="4"/>
      <c r="K346" s="4"/>
      <c r="L346" s="4"/>
      <c r="M346" s="4"/>
      <c r="N346" s="4"/>
      <c r="O346" s="4" t="s">
        <v>32</v>
      </c>
      <c r="P346" s="4" t="s">
        <v>269</v>
      </c>
      <c r="Q346" s="4"/>
      <c r="R346" s="4"/>
      <c r="S346" s="4"/>
      <c r="T346" s="4"/>
      <c r="U346" s="4" t="s">
        <v>35</v>
      </c>
      <c r="V346" s="4"/>
      <c r="W346" s="4"/>
      <c r="X346" s="4" t="s">
        <v>38</v>
      </c>
      <c r="Y346" s="4" t="s">
        <v>48</v>
      </c>
      <c r="Z346" s="4" t="s">
        <v>40</v>
      </c>
      <c r="AA346" s="4" t="s">
        <v>41</v>
      </c>
      <c r="AB346" s="5" t="s">
        <v>1599</v>
      </c>
      <c r="AC346">
        <f>COUNTIF(Sheet1!$A$1:$A$50,Firms!A346)</f>
        <v>0</v>
      </c>
    </row>
    <row r="347" spans="1:29" ht="15" hidden="1" customHeight="1" x14ac:dyDescent="0.45">
      <c r="A347" s="2" t="s">
        <v>1600</v>
      </c>
      <c r="B347" s="2" t="s">
        <v>29</v>
      </c>
      <c r="C347" s="2"/>
      <c r="D347" s="2"/>
      <c r="E347" s="2" t="s">
        <v>1601</v>
      </c>
      <c r="F347" s="2"/>
      <c r="G347" s="2"/>
      <c r="H347" s="2"/>
      <c r="I347" s="2"/>
      <c r="J347" s="2"/>
      <c r="K347" s="2"/>
      <c r="L347" s="2"/>
      <c r="M347" s="2"/>
      <c r="N347" s="2"/>
      <c r="O347" s="2" t="s">
        <v>1602</v>
      </c>
      <c r="P347" s="2" t="s">
        <v>105</v>
      </c>
      <c r="Q347" s="2"/>
      <c r="R347" s="2"/>
      <c r="S347" s="2"/>
      <c r="T347" s="2"/>
      <c r="U347" s="2"/>
      <c r="V347" s="2"/>
      <c r="W347" s="2"/>
      <c r="X347" s="2" t="s">
        <v>38</v>
      </c>
      <c r="Y347" s="2" t="s">
        <v>39</v>
      </c>
      <c r="Z347" s="2" t="s">
        <v>40</v>
      </c>
      <c r="AA347" s="2" t="s">
        <v>41</v>
      </c>
      <c r="AB347" s="3" t="s">
        <v>1603</v>
      </c>
      <c r="AC347">
        <f>COUNTIF(Sheet1!$A$1:$A$50,Firms!A347)</f>
        <v>0</v>
      </c>
    </row>
    <row r="348" spans="1:29" ht="15" hidden="1" customHeight="1" x14ac:dyDescent="0.45">
      <c r="A348" s="6" t="s">
        <v>1604</v>
      </c>
      <c r="B348" s="6" t="s">
        <v>29</v>
      </c>
      <c r="C348" s="6" t="s">
        <v>101</v>
      </c>
      <c r="D348" s="6" t="s">
        <v>1605</v>
      </c>
      <c r="E348" s="6" t="s">
        <v>1606</v>
      </c>
      <c r="F348" s="6" t="s">
        <v>31</v>
      </c>
      <c r="G348" s="6"/>
      <c r="H348" s="6"/>
      <c r="I348" s="6" t="s">
        <v>1607</v>
      </c>
      <c r="J348" s="6" t="s">
        <v>137</v>
      </c>
      <c r="K348" s="6"/>
      <c r="L348" s="6"/>
      <c r="M348" s="6"/>
      <c r="N348" s="6"/>
      <c r="O348" s="6" t="s">
        <v>72</v>
      </c>
      <c r="P348" s="6" t="s">
        <v>253</v>
      </c>
      <c r="Q348" s="6"/>
      <c r="R348" s="6"/>
      <c r="S348" s="6"/>
      <c r="T348" s="6"/>
      <c r="U348" s="6" t="s">
        <v>35</v>
      </c>
      <c r="V348" s="6"/>
      <c r="W348" s="6" t="s">
        <v>1604</v>
      </c>
      <c r="X348" s="6" t="s">
        <v>63</v>
      </c>
      <c r="Y348" s="6" t="s">
        <v>39</v>
      </c>
      <c r="Z348" s="6" t="s">
        <v>40</v>
      </c>
      <c r="AA348" s="6" t="s">
        <v>41</v>
      </c>
      <c r="AB348" s="7" t="s">
        <v>1608</v>
      </c>
      <c r="AC348">
        <f>COUNTIF(Sheet1!$A$1:$A$50,Firms!A348)</f>
        <v>0</v>
      </c>
    </row>
    <row r="349" spans="1:29" ht="15" hidden="1" customHeight="1" x14ac:dyDescent="0.45">
      <c r="A349" s="2" t="s">
        <v>1609</v>
      </c>
      <c r="B349" s="2" t="s">
        <v>29</v>
      </c>
      <c r="C349" s="2"/>
      <c r="D349" s="2"/>
      <c r="E349" s="2" t="s">
        <v>1610</v>
      </c>
      <c r="F349" s="2" t="s">
        <v>31</v>
      </c>
      <c r="G349" s="2"/>
      <c r="H349" s="2"/>
      <c r="I349" s="2"/>
      <c r="J349" s="2"/>
      <c r="K349" s="2"/>
      <c r="L349" s="2"/>
      <c r="M349" s="2"/>
      <c r="N349" s="2"/>
      <c r="O349" s="2" t="s">
        <v>1611</v>
      </c>
      <c r="P349" s="2" t="s">
        <v>279</v>
      </c>
      <c r="Q349" s="2"/>
      <c r="R349" s="2"/>
      <c r="S349" s="2"/>
      <c r="T349" s="2" t="s">
        <v>1612</v>
      </c>
      <c r="U349" s="2" t="s">
        <v>35</v>
      </c>
      <c r="V349" s="2"/>
      <c r="W349" s="2"/>
      <c r="X349" s="2" t="s">
        <v>38</v>
      </c>
      <c r="Y349" s="2" t="s">
        <v>39</v>
      </c>
      <c r="Z349" s="2" t="s">
        <v>40</v>
      </c>
      <c r="AA349" s="2" t="s">
        <v>41</v>
      </c>
      <c r="AB349" s="3" t="s">
        <v>1613</v>
      </c>
      <c r="AC349">
        <f>COUNTIF(Sheet1!$A$1:$A$50,Firms!A349)</f>
        <v>0</v>
      </c>
    </row>
    <row r="350" spans="1:29" ht="15" hidden="1" customHeight="1" x14ac:dyDescent="0.45">
      <c r="A350" s="2" t="s">
        <v>1614</v>
      </c>
      <c r="B350" s="2" t="s">
        <v>29</v>
      </c>
      <c r="C350" s="2" t="s">
        <v>1615</v>
      </c>
      <c r="D350" s="2" t="s">
        <v>1616</v>
      </c>
      <c r="E350" s="2" t="s">
        <v>1617</v>
      </c>
      <c r="F350" s="2" t="s">
        <v>81</v>
      </c>
      <c r="G350" s="2"/>
      <c r="H350" s="2"/>
      <c r="I350" s="2"/>
      <c r="J350" s="2"/>
      <c r="K350" s="2"/>
      <c r="L350" s="2"/>
      <c r="M350" s="2"/>
      <c r="N350" s="2"/>
      <c r="O350" s="2" t="s">
        <v>145</v>
      </c>
      <c r="P350" s="2" t="s">
        <v>46</v>
      </c>
      <c r="Q350" s="2"/>
      <c r="R350" s="2"/>
      <c r="S350" s="2"/>
      <c r="T350" s="2" t="s">
        <v>57</v>
      </c>
      <c r="U350" s="2" t="s">
        <v>35</v>
      </c>
      <c r="V350" s="2" t="s">
        <v>1618</v>
      </c>
      <c r="W350" s="2" t="s">
        <v>1614</v>
      </c>
      <c r="X350" s="2" t="s">
        <v>38</v>
      </c>
      <c r="Y350" s="2" t="s">
        <v>39</v>
      </c>
      <c r="Z350" s="2" t="s">
        <v>40</v>
      </c>
      <c r="AA350" s="2" t="s">
        <v>41</v>
      </c>
      <c r="AB350" s="3" t="s">
        <v>1619</v>
      </c>
      <c r="AC350">
        <f>COUNTIF(Sheet1!$A$1:$A$50,Firms!A350)</f>
        <v>0</v>
      </c>
    </row>
    <row r="351" spans="1:29" ht="15" hidden="1" customHeight="1" x14ac:dyDescent="0.45">
      <c r="A351" s="2" t="s">
        <v>1620</v>
      </c>
      <c r="B351" s="2" t="s">
        <v>29</v>
      </c>
      <c r="C351" s="2" t="s">
        <v>1621</v>
      </c>
      <c r="D351" s="2" t="s">
        <v>1622</v>
      </c>
      <c r="E351" s="2" t="s">
        <v>1623</v>
      </c>
      <c r="F351" s="2" t="s">
        <v>81</v>
      </c>
      <c r="G351" s="2"/>
      <c r="H351" s="2"/>
      <c r="I351" s="2"/>
      <c r="J351" s="2"/>
      <c r="K351" s="2"/>
      <c r="L351" s="2"/>
      <c r="M351" s="2"/>
      <c r="N351" s="2"/>
      <c r="O351" s="2" t="s">
        <v>576</v>
      </c>
      <c r="P351" s="2" t="s">
        <v>503</v>
      </c>
      <c r="Q351" s="2"/>
      <c r="R351" s="2"/>
      <c r="S351" s="2"/>
      <c r="T351" s="2"/>
      <c r="U351" s="2" t="s">
        <v>35</v>
      </c>
      <c r="V351" s="2"/>
      <c r="W351" s="2"/>
      <c r="X351" s="2" t="s">
        <v>38</v>
      </c>
      <c r="Y351" s="2" t="s">
        <v>39</v>
      </c>
      <c r="Z351" s="2" t="s">
        <v>40</v>
      </c>
      <c r="AA351" s="2" t="s">
        <v>41</v>
      </c>
      <c r="AB351" s="3" t="s">
        <v>1624</v>
      </c>
      <c r="AC351">
        <f>COUNTIF(Sheet1!$A$1:$A$50,Firms!A351)</f>
        <v>0</v>
      </c>
    </row>
    <row r="352" spans="1:29" ht="15" hidden="1" customHeight="1" x14ac:dyDescent="0.45">
      <c r="A352" s="2" t="s">
        <v>1625</v>
      </c>
      <c r="B352" s="2" t="s">
        <v>402</v>
      </c>
      <c r="C352" s="2"/>
      <c r="D352" s="2"/>
      <c r="E352" s="2" t="s">
        <v>1626</v>
      </c>
      <c r="F352" s="2" t="s">
        <v>405</v>
      </c>
      <c r="G352" s="2"/>
      <c r="H352" s="2"/>
      <c r="I352" s="2"/>
      <c r="J352" s="2"/>
      <c r="K352" s="2"/>
      <c r="L352" s="2"/>
      <c r="M352" s="2"/>
      <c r="N352" s="2"/>
      <c r="O352" s="2" t="s">
        <v>406</v>
      </c>
      <c r="P352" s="2" t="s">
        <v>1349</v>
      </c>
      <c r="Q352" s="2"/>
      <c r="R352" s="2"/>
      <c r="S352" s="2"/>
      <c r="T352" s="2"/>
      <c r="U352" s="2" t="s">
        <v>35</v>
      </c>
      <c r="V352" s="2"/>
      <c r="W352" s="2"/>
      <c r="X352" s="2" t="s">
        <v>38</v>
      </c>
      <c r="Y352" s="2" t="s">
        <v>39</v>
      </c>
      <c r="Z352" s="2" t="s">
        <v>40</v>
      </c>
      <c r="AA352" s="2" t="s">
        <v>41</v>
      </c>
      <c r="AB352" s="3" t="s">
        <v>1627</v>
      </c>
      <c r="AC352">
        <f>COUNTIF(Sheet1!$A$1:$A$50,Firms!A352)</f>
        <v>0</v>
      </c>
    </row>
    <row r="353" spans="1:30" ht="15" hidden="1" customHeight="1" x14ac:dyDescent="0.45">
      <c r="A353" s="2" t="s">
        <v>1628</v>
      </c>
      <c r="B353" s="2" t="s">
        <v>29</v>
      </c>
      <c r="C353" s="2"/>
      <c r="D353" s="2"/>
      <c r="E353" s="2" t="s">
        <v>1629</v>
      </c>
      <c r="F353" s="2" t="s">
        <v>81</v>
      </c>
      <c r="G353" s="2"/>
      <c r="H353" s="2"/>
      <c r="I353" s="2"/>
      <c r="J353" s="2"/>
      <c r="K353" s="2"/>
      <c r="L353" s="2"/>
      <c r="M353" s="2"/>
      <c r="N353" s="2"/>
      <c r="O353" s="2" t="s">
        <v>193</v>
      </c>
      <c r="P353" s="2" t="s">
        <v>105</v>
      </c>
      <c r="Q353" s="2"/>
      <c r="R353" s="2"/>
      <c r="S353" s="2"/>
      <c r="T353" s="2" t="s">
        <v>1630</v>
      </c>
      <c r="U353" s="2" t="s">
        <v>35</v>
      </c>
      <c r="V353" s="2"/>
      <c r="W353" s="2"/>
      <c r="X353" s="2" t="s">
        <v>38</v>
      </c>
      <c r="Y353" s="2" t="s">
        <v>39</v>
      </c>
      <c r="Z353" s="2" t="s">
        <v>40</v>
      </c>
      <c r="AA353" s="2" t="s">
        <v>41</v>
      </c>
      <c r="AB353" s="3" t="s">
        <v>1631</v>
      </c>
      <c r="AC353">
        <f>COUNTIF(Sheet1!$A$1:$A$50,Firms!A353)</f>
        <v>0</v>
      </c>
    </row>
    <row r="354" spans="1:30" ht="15" hidden="1" customHeight="1" x14ac:dyDescent="0.45">
      <c r="A354" s="2" t="s">
        <v>1632</v>
      </c>
      <c r="B354" s="2" t="s">
        <v>29</v>
      </c>
      <c r="C354" s="2"/>
      <c r="D354" s="2" t="s">
        <v>1633</v>
      </c>
      <c r="E354" s="2" t="s">
        <v>1634</v>
      </c>
      <c r="F354" s="2" t="s">
        <v>405</v>
      </c>
      <c r="G354" s="2"/>
      <c r="H354" s="2"/>
      <c r="I354" s="2"/>
      <c r="J354" s="2"/>
      <c r="K354" s="2"/>
      <c r="L354" s="2"/>
      <c r="M354" s="2"/>
      <c r="N354" s="2"/>
      <c r="O354" s="2" t="s">
        <v>313</v>
      </c>
      <c r="P354" s="2" t="s">
        <v>1635</v>
      </c>
      <c r="Q354" s="2"/>
      <c r="R354" s="2"/>
      <c r="S354" s="2"/>
      <c r="T354" s="2" t="s">
        <v>1452</v>
      </c>
      <c r="U354" s="2" t="s">
        <v>35</v>
      </c>
      <c r="V354" s="2"/>
      <c r="W354" s="2" t="s">
        <v>1636</v>
      </c>
      <c r="X354" s="2" t="s">
        <v>38</v>
      </c>
      <c r="Y354" s="2" t="s">
        <v>39</v>
      </c>
      <c r="Z354" s="2" t="s">
        <v>40</v>
      </c>
      <c r="AA354" s="2" t="s">
        <v>41</v>
      </c>
      <c r="AB354" s="3" t="s">
        <v>1637</v>
      </c>
      <c r="AC354">
        <f>COUNTIF(Sheet1!$A$1:$A$50,Firms!A354)</f>
        <v>0</v>
      </c>
    </row>
    <row r="355" spans="1:30" ht="15" hidden="1" customHeight="1" x14ac:dyDescent="0.45">
      <c r="A355" s="2" t="s">
        <v>1638</v>
      </c>
      <c r="B355" s="2" t="s">
        <v>29</v>
      </c>
      <c r="C355" s="2" t="s">
        <v>101</v>
      </c>
      <c r="D355" s="2" t="s">
        <v>151</v>
      </c>
      <c r="E355" s="2" t="s">
        <v>1639</v>
      </c>
      <c r="F355" s="2" t="s">
        <v>81</v>
      </c>
      <c r="G355" s="2"/>
      <c r="H355" s="2"/>
      <c r="I355" s="2"/>
      <c r="J355" s="2"/>
      <c r="K355" s="2"/>
      <c r="L355" s="2"/>
      <c r="M355" s="2"/>
      <c r="N355" s="2"/>
      <c r="O355" s="2" t="s">
        <v>32</v>
      </c>
      <c r="P355" s="2" t="s">
        <v>1640</v>
      </c>
      <c r="Q355" s="2"/>
      <c r="R355" s="2"/>
      <c r="S355" s="2"/>
      <c r="T355" s="2" t="s">
        <v>1641</v>
      </c>
      <c r="U355" s="2" t="s">
        <v>35</v>
      </c>
      <c r="V355" s="2"/>
      <c r="W355" s="2"/>
      <c r="X355" s="2" t="s">
        <v>38</v>
      </c>
      <c r="Y355" s="2" t="s">
        <v>39</v>
      </c>
      <c r="Z355" s="2" t="s">
        <v>40</v>
      </c>
      <c r="AA355" s="2" t="s">
        <v>41</v>
      </c>
      <c r="AB355" s="3" t="s">
        <v>1642</v>
      </c>
      <c r="AC355">
        <f>COUNTIF(Sheet1!$A$1:$A$50,Firms!A355)</f>
        <v>0</v>
      </c>
    </row>
    <row r="356" spans="1:30" ht="15" hidden="1" customHeight="1" x14ac:dyDescent="0.45">
      <c r="A356" s="2" t="s">
        <v>1643</v>
      </c>
      <c r="B356" s="2" t="s">
        <v>29</v>
      </c>
      <c r="C356" s="2"/>
      <c r="D356" s="2"/>
      <c r="E356" s="2" t="s">
        <v>1644</v>
      </c>
      <c r="F356" s="2"/>
      <c r="G356" s="2"/>
      <c r="H356" s="2"/>
      <c r="I356" s="2"/>
      <c r="J356" s="2"/>
      <c r="K356" s="2"/>
      <c r="L356" s="2"/>
      <c r="M356" s="2"/>
      <c r="N356" s="2"/>
      <c r="O356" s="2" t="s">
        <v>671</v>
      </c>
      <c r="P356" s="2" t="s">
        <v>158</v>
      </c>
      <c r="Q356" s="2"/>
      <c r="R356" s="2"/>
      <c r="S356" s="2"/>
      <c r="T356" s="2" t="s">
        <v>1645</v>
      </c>
      <c r="U356" s="2" t="s">
        <v>35</v>
      </c>
      <c r="V356" s="2"/>
      <c r="W356" s="2"/>
      <c r="X356" s="2" t="s">
        <v>38</v>
      </c>
      <c r="Y356" s="2" t="s">
        <v>39</v>
      </c>
      <c r="Z356" s="2" t="s">
        <v>40</v>
      </c>
      <c r="AA356" s="2" t="s">
        <v>41</v>
      </c>
      <c r="AB356" s="3" t="s">
        <v>1646</v>
      </c>
      <c r="AC356">
        <f>COUNTIF(Sheet1!$A$1:$A$50,Firms!A356)</f>
        <v>0</v>
      </c>
    </row>
    <row r="357" spans="1:30" ht="15" customHeight="1" x14ac:dyDescent="0.45">
      <c r="A357" s="6" t="s">
        <v>1647</v>
      </c>
      <c r="B357" s="6" t="s">
        <v>29</v>
      </c>
      <c r="C357" s="6" t="s">
        <v>272</v>
      </c>
      <c r="D357" s="6" t="s">
        <v>273</v>
      </c>
      <c r="E357" s="6" t="s">
        <v>1648</v>
      </c>
      <c r="F357" s="6" t="s">
        <v>81</v>
      </c>
      <c r="G357" s="6" t="s">
        <v>69</v>
      </c>
      <c r="H357" s="6" t="s">
        <v>55</v>
      </c>
      <c r="I357" s="6" t="s">
        <v>469</v>
      </c>
      <c r="J357" s="6" t="s">
        <v>192</v>
      </c>
      <c r="K357" s="6"/>
      <c r="L357" s="6"/>
      <c r="M357" s="6" t="s">
        <v>469</v>
      </c>
      <c r="N357" s="6"/>
      <c r="O357" s="6" t="s">
        <v>32</v>
      </c>
      <c r="P357" s="6" t="s">
        <v>1557</v>
      </c>
      <c r="Q357" s="6" t="s">
        <v>1649</v>
      </c>
      <c r="R357" s="6"/>
      <c r="S357" s="6"/>
      <c r="T357" s="6" t="s">
        <v>1650</v>
      </c>
      <c r="U357" s="6" t="s">
        <v>35</v>
      </c>
      <c r="V357" s="6"/>
      <c r="W357" s="6"/>
      <c r="X357" s="6" t="s">
        <v>63</v>
      </c>
      <c r="Y357" s="6" t="s">
        <v>39</v>
      </c>
      <c r="Z357" s="6" t="s">
        <v>40</v>
      </c>
      <c r="AA357" s="6" t="s">
        <v>41</v>
      </c>
      <c r="AB357" s="7" t="s">
        <v>1651</v>
      </c>
      <c r="AC357">
        <f>COUNTIF(Sheet1!$A$1:$A$50,Firms!A357)</f>
        <v>1</v>
      </c>
      <c r="AD357" t="str">
        <f>SUBSTITUTE(AB357,"Seeded from CapIQ export. Numeric fields are regex first-pass — c","C")</f>
        <v>Crawler will confirm. capiq_description preserved for AI extraction fallback. | [extractor] Shore Capital Partners is a PE firm actively investing in lower middle market companies. Platform investments target $5-100m revenue with $1-10m EBITDA. Add-on investments $1m+ revenue with no minimum EBITDA. Focus sectors: healthcare, food &amp; beverage, business services, industrials, real estate. 86 platform companies, 22 realized exits, ~$17B AUM. HQ Chicago; secondary office Nashville. Also operates a search fund vertical.</v>
      </c>
    </row>
    <row r="358" spans="1:30" ht="15" hidden="1" customHeight="1" x14ac:dyDescent="0.45">
      <c r="A358" s="6" t="s">
        <v>1652</v>
      </c>
      <c r="B358" s="6" t="s">
        <v>29</v>
      </c>
      <c r="C358" s="6" t="s">
        <v>78</v>
      </c>
      <c r="D358" s="6" t="s">
        <v>923</v>
      </c>
      <c r="E358" s="6" t="s">
        <v>1653</v>
      </c>
      <c r="F358" s="6" t="s">
        <v>81</v>
      </c>
      <c r="G358" s="6"/>
      <c r="H358" s="6"/>
      <c r="I358" s="6" t="s">
        <v>192</v>
      </c>
      <c r="J358" s="6" t="s">
        <v>70</v>
      </c>
      <c r="K358" s="6" t="s">
        <v>55</v>
      </c>
      <c r="L358" s="6" t="s">
        <v>456</v>
      </c>
      <c r="M358" s="6"/>
      <c r="N358" s="6"/>
      <c r="O358" s="6" t="s">
        <v>32</v>
      </c>
      <c r="P358" s="6" t="s">
        <v>728</v>
      </c>
      <c r="Q358" s="6"/>
      <c r="R358" s="6"/>
      <c r="S358" s="6"/>
      <c r="T358" s="6" t="s">
        <v>34</v>
      </c>
      <c r="U358" s="6" t="s">
        <v>35</v>
      </c>
      <c r="V358" s="6" t="s">
        <v>1654</v>
      </c>
      <c r="W358" s="6"/>
      <c r="X358" s="6" t="s">
        <v>63</v>
      </c>
      <c r="Y358" s="6" t="s">
        <v>39</v>
      </c>
      <c r="Z358" s="6" t="s">
        <v>40</v>
      </c>
      <c r="AA358" s="6" t="s">
        <v>41</v>
      </c>
      <c r="AB358" s="7" t="s">
        <v>1655</v>
      </c>
      <c r="AC358">
        <f>COUNTIF(Sheet1!$A$1:$A$50,Firms!A358)</f>
        <v>0</v>
      </c>
    </row>
    <row r="359" spans="1:30" ht="15" hidden="1" customHeight="1" x14ac:dyDescent="0.45">
      <c r="A359" s="2" t="s">
        <v>1656</v>
      </c>
      <c r="B359" s="2" t="s">
        <v>29</v>
      </c>
      <c r="C359" s="2"/>
      <c r="D359" s="2"/>
      <c r="E359" s="2" t="s">
        <v>1657</v>
      </c>
      <c r="F359" s="2" t="s">
        <v>81</v>
      </c>
      <c r="G359" s="2"/>
      <c r="H359" s="2"/>
      <c r="I359" s="2"/>
      <c r="J359" s="2"/>
      <c r="K359" s="2"/>
      <c r="L359" s="2"/>
      <c r="M359" s="2" t="s">
        <v>258</v>
      </c>
      <c r="N359" s="2"/>
      <c r="O359" s="2" t="s">
        <v>671</v>
      </c>
      <c r="P359" s="2" t="s">
        <v>728</v>
      </c>
      <c r="Q359" s="2"/>
      <c r="R359" s="2"/>
      <c r="S359" s="2"/>
      <c r="T359" s="2" t="s">
        <v>1658</v>
      </c>
      <c r="U359" s="2" t="s">
        <v>35</v>
      </c>
      <c r="V359" s="2" t="s">
        <v>1659</v>
      </c>
      <c r="W359" s="2" t="s">
        <v>1656</v>
      </c>
      <c r="X359" s="2" t="s">
        <v>38</v>
      </c>
      <c r="Y359" s="2" t="s">
        <v>39</v>
      </c>
      <c r="Z359" s="2" t="s">
        <v>40</v>
      </c>
      <c r="AA359" s="2" t="s">
        <v>41</v>
      </c>
      <c r="AB359" s="3" t="s">
        <v>1660</v>
      </c>
      <c r="AC359">
        <f>COUNTIF(Sheet1!$A$1:$A$50,Firms!A359)</f>
        <v>0</v>
      </c>
    </row>
    <row r="360" spans="1:30" ht="15" hidden="1" customHeight="1" x14ac:dyDescent="0.45">
      <c r="A360" s="2" t="s">
        <v>1661</v>
      </c>
      <c r="B360" s="2" t="s">
        <v>29</v>
      </c>
      <c r="C360" s="2"/>
      <c r="D360" s="2"/>
      <c r="E360" s="2" t="s">
        <v>1662</v>
      </c>
      <c r="F360" s="2" t="s">
        <v>31</v>
      </c>
      <c r="G360" s="2"/>
      <c r="H360" s="2"/>
      <c r="I360" s="2"/>
      <c r="J360" s="2"/>
      <c r="K360" s="2"/>
      <c r="L360" s="2"/>
      <c r="M360" s="2"/>
      <c r="N360" s="2"/>
      <c r="O360" s="2" t="s">
        <v>576</v>
      </c>
      <c r="P360" s="2" t="s">
        <v>494</v>
      </c>
      <c r="Q360" s="2"/>
      <c r="R360" s="2"/>
      <c r="S360" s="2"/>
      <c r="T360" s="2" t="s">
        <v>1658</v>
      </c>
      <c r="U360" s="2" t="s">
        <v>35</v>
      </c>
      <c r="V360" s="2" t="s">
        <v>247</v>
      </c>
      <c r="W360" s="2"/>
      <c r="X360" s="2" t="s">
        <v>38</v>
      </c>
      <c r="Y360" s="2" t="s">
        <v>39</v>
      </c>
      <c r="Z360" s="2" t="s">
        <v>40</v>
      </c>
      <c r="AA360" s="2" t="s">
        <v>41</v>
      </c>
      <c r="AB360" s="3" t="s">
        <v>1663</v>
      </c>
      <c r="AC360">
        <f>COUNTIF(Sheet1!$A$1:$A$50,Firms!A360)</f>
        <v>0</v>
      </c>
    </row>
    <row r="361" spans="1:30" ht="15" hidden="1" customHeight="1" x14ac:dyDescent="0.45">
      <c r="A361" s="4" t="s">
        <v>1664</v>
      </c>
      <c r="B361" s="4" t="s">
        <v>29</v>
      </c>
      <c r="C361" s="4"/>
      <c r="D361" s="4"/>
      <c r="E361" s="4" t="s">
        <v>1665</v>
      </c>
      <c r="F361" s="4"/>
      <c r="G361" s="4"/>
      <c r="H361" s="4"/>
      <c r="I361" s="4"/>
      <c r="J361" s="4"/>
      <c r="K361" s="4"/>
      <c r="L361" s="4"/>
      <c r="M361" s="4"/>
      <c r="N361" s="4"/>
      <c r="O361" s="4"/>
      <c r="P361" s="4" t="s">
        <v>581</v>
      </c>
      <c r="Q361" s="4"/>
      <c r="R361" s="4"/>
      <c r="S361" s="4"/>
      <c r="T361" s="4"/>
      <c r="U361" s="4" t="s">
        <v>35</v>
      </c>
      <c r="V361" s="4"/>
      <c r="W361" s="4"/>
      <c r="X361" s="4" t="s">
        <v>47</v>
      </c>
      <c r="Y361" s="4" t="s">
        <v>48</v>
      </c>
      <c r="Z361" s="4" t="s">
        <v>40</v>
      </c>
      <c r="AA361" s="4" t="s">
        <v>41</v>
      </c>
      <c r="AB361" s="5" t="s">
        <v>1666</v>
      </c>
      <c r="AC361">
        <f>COUNTIF(Sheet1!$A$1:$A$50,Firms!A361)</f>
        <v>0</v>
      </c>
    </row>
    <row r="362" spans="1:30" ht="15" hidden="1" customHeight="1" x14ac:dyDescent="0.45">
      <c r="A362" s="6" t="s">
        <v>1667</v>
      </c>
      <c r="B362" s="6" t="s">
        <v>29</v>
      </c>
      <c r="C362" s="6" t="s">
        <v>101</v>
      </c>
      <c r="D362" s="6" t="s">
        <v>151</v>
      </c>
      <c r="E362" s="6" t="s">
        <v>1668</v>
      </c>
      <c r="F362" s="6" t="s">
        <v>81</v>
      </c>
      <c r="G362" s="6" t="s">
        <v>69</v>
      </c>
      <c r="H362" s="6" t="s">
        <v>70</v>
      </c>
      <c r="I362" s="6" t="s">
        <v>469</v>
      </c>
      <c r="J362" s="6" t="s">
        <v>69</v>
      </c>
      <c r="K362" s="6"/>
      <c r="L362" s="6"/>
      <c r="M362" s="6"/>
      <c r="N362" s="6"/>
      <c r="O362" s="6" t="s">
        <v>1669</v>
      </c>
      <c r="P362" s="6" t="s">
        <v>857</v>
      </c>
      <c r="Q362" s="6"/>
      <c r="R362" s="6"/>
      <c r="S362" s="6"/>
      <c r="T362" s="6" t="s">
        <v>1670</v>
      </c>
      <c r="U362" s="6" t="s">
        <v>35</v>
      </c>
      <c r="V362" s="6" t="s">
        <v>1671</v>
      </c>
      <c r="W362" s="6"/>
      <c r="X362" s="6" t="s">
        <v>63</v>
      </c>
      <c r="Y362" s="6" t="s">
        <v>39</v>
      </c>
      <c r="Z362" s="6" t="s">
        <v>40</v>
      </c>
      <c r="AA362" s="6" t="s">
        <v>41</v>
      </c>
      <c r="AB362" s="7" t="s">
        <v>1672</v>
      </c>
      <c r="AC362">
        <f>COUNTIF(Sheet1!$A$1:$A$50,Firms!A362)</f>
        <v>0</v>
      </c>
    </row>
    <row r="363" spans="1:30" ht="15" hidden="1" customHeight="1" x14ac:dyDescent="0.45">
      <c r="A363" s="6" t="s">
        <v>1673</v>
      </c>
      <c r="B363" s="6" t="s">
        <v>29</v>
      </c>
      <c r="C363" s="6"/>
      <c r="D363" s="6"/>
      <c r="E363" s="6" t="s">
        <v>1674</v>
      </c>
      <c r="F363" s="6" t="s">
        <v>81</v>
      </c>
      <c r="G363" s="6"/>
      <c r="H363" s="6"/>
      <c r="I363" s="6"/>
      <c r="J363" s="6"/>
      <c r="K363" s="6"/>
      <c r="L363" s="6"/>
      <c r="M363" s="6" t="s">
        <v>173</v>
      </c>
      <c r="N363" s="6" t="s">
        <v>59</v>
      </c>
      <c r="O363" s="6" t="s">
        <v>193</v>
      </c>
      <c r="P363" s="6" t="s">
        <v>544</v>
      </c>
      <c r="Q363" s="6"/>
      <c r="R363" s="6"/>
      <c r="S363" s="6"/>
      <c r="T363" s="6" t="s">
        <v>1675</v>
      </c>
      <c r="U363" s="6" t="s">
        <v>35</v>
      </c>
      <c r="V363" s="6" t="s">
        <v>1676</v>
      </c>
      <c r="W363" s="6"/>
      <c r="X363" s="6" t="s">
        <v>63</v>
      </c>
      <c r="Y363" s="6" t="s">
        <v>39</v>
      </c>
      <c r="Z363" s="6" t="s">
        <v>40</v>
      </c>
      <c r="AA363" s="6" t="s">
        <v>41</v>
      </c>
      <c r="AB363" s="7" t="s">
        <v>1677</v>
      </c>
      <c r="AC363">
        <f>COUNTIF(Sheet1!$A$1:$A$50,Firms!A363)</f>
        <v>0</v>
      </c>
    </row>
    <row r="364" spans="1:30" ht="15" hidden="1" customHeight="1" x14ac:dyDescent="0.45">
      <c r="A364" s="6" t="s">
        <v>1678</v>
      </c>
      <c r="B364" s="6" t="s">
        <v>29</v>
      </c>
      <c r="C364" s="6" t="s">
        <v>1679</v>
      </c>
      <c r="D364" s="6" t="s">
        <v>1616</v>
      </c>
      <c r="E364" s="6" t="s">
        <v>1680</v>
      </c>
      <c r="F364" s="6" t="s">
        <v>81</v>
      </c>
      <c r="G364" s="6"/>
      <c r="H364" s="6"/>
      <c r="I364" s="6"/>
      <c r="J364" s="6"/>
      <c r="K364" s="6"/>
      <c r="L364" s="6"/>
      <c r="M364" s="6" t="s">
        <v>469</v>
      </c>
      <c r="N364" s="6" t="s">
        <v>137</v>
      </c>
      <c r="O364" s="6" t="s">
        <v>32</v>
      </c>
      <c r="P364" s="6" t="s">
        <v>105</v>
      </c>
      <c r="Q364" s="6"/>
      <c r="R364" s="6"/>
      <c r="S364" s="6"/>
      <c r="T364" s="6"/>
      <c r="U364" s="6" t="s">
        <v>35</v>
      </c>
      <c r="V364" s="6"/>
      <c r="W364" s="6"/>
      <c r="X364" s="6" t="s">
        <v>63</v>
      </c>
      <c r="Y364" s="6" t="s">
        <v>39</v>
      </c>
      <c r="Z364" s="6" t="s">
        <v>40</v>
      </c>
      <c r="AA364" s="6" t="s">
        <v>41</v>
      </c>
      <c r="AB364" s="7" t="s">
        <v>1681</v>
      </c>
      <c r="AC364">
        <f>COUNTIF(Sheet1!$A$1:$A$50,Firms!A364)</f>
        <v>0</v>
      </c>
    </row>
    <row r="365" spans="1:30" ht="15" hidden="1" customHeight="1" x14ac:dyDescent="0.45">
      <c r="A365" s="2" t="s">
        <v>1682</v>
      </c>
      <c r="B365" s="2" t="s">
        <v>29</v>
      </c>
      <c r="C365" s="2" t="s">
        <v>1073</v>
      </c>
      <c r="D365" s="2" t="s">
        <v>1074</v>
      </c>
      <c r="E365" s="2" t="s">
        <v>1683</v>
      </c>
      <c r="F365" s="2" t="s">
        <v>81</v>
      </c>
      <c r="G365" s="2"/>
      <c r="H365" s="2"/>
      <c r="I365" s="2"/>
      <c r="J365" s="2"/>
      <c r="K365" s="2"/>
      <c r="L365" s="2"/>
      <c r="M365" s="2"/>
      <c r="N365" s="2"/>
      <c r="O365" s="2" t="s">
        <v>32</v>
      </c>
      <c r="P365" s="2" t="s">
        <v>88</v>
      </c>
      <c r="Q365" s="2"/>
      <c r="R365" s="2"/>
      <c r="S365" s="2"/>
      <c r="T365" s="2"/>
      <c r="U365" s="2" t="s">
        <v>35</v>
      </c>
      <c r="V365" s="2"/>
      <c r="W365" s="2"/>
      <c r="X365" s="2" t="s">
        <v>38</v>
      </c>
      <c r="Y365" s="2" t="s">
        <v>39</v>
      </c>
      <c r="Z365" s="2" t="s">
        <v>40</v>
      </c>
      <c r="AA365" s="2" t="s">
        <v>41</v>
      </c>
      <c r="AB365" s="3" t="s">
        <v>1684</v>
      </c>
      <c r="AC365">
        <f>COUNTIF(Sheet1!$A$1:$A$50,Firms!A365)</f>
        <v>0</v>
      </c>
    </row>
    <row r="366" spans="1:30" ht="15" customHeight="1" x14ac:dyDescent="0.45">
      <c r="A366" s="6" t="s">
        <v>1685</v>
      </c>
      <c r="B366" s="6" t="s">
        <v>29</v>
      </c>
      <c r="C366" s="6" t="s">
        <v>331</v>
      </c>
      <c r="D366" s="6" t="s">
        <v>332</v>
      </c>
      <c r="E366" s="6" t="s">
        <v>1686</v>
      </c>
      <c r="F366" s="6" t="s">
        <v>31</v>
      </c>
      <c r="G366" s="6"/>
      <c r="H366" s="6"/>
      <c r="I366" s="6" t="s">
        <v>125</v>
      </c>
      <c r="J366" s="6" t="s">
        <v>1687</v>
      </c>
      <c r="K366" s="6"/>
      <c r="L366" s="6"/>
      <c r="M366" s="6"/>
      <c r="N366" s="6"/>
      <c r="O366" s="6" t="s">
        <v>32</v>
      </c>
      <c r="P366" s="6" t="s">
        <v>503</v>
      </c>
      <c r="Q366" s="6"/>
      <c r="R366" s="6"/>
      <c r="S366" s="6"/>
      <c r="T366" s="6" t="s">
        <v>1688</v>
      </c>
      <c r="U366" s="6" t="s">
        <v>35</v>
      </c>
      <c r="V366" s="6"/>
      <c r="W366" s="6"/>
      <c r="X366" s="6" t="s">
        <v>63</v>
      </c>
      <c r="Y366" s="6" t="s">
        <v>39</v>
      </c>
      <c r="Z366" s="6" t="s">
        <v>40</v>
      </c>
      <c r="AA366" s="6" t="s">
        <v>41</v>
      </c>
      <c r="AB366" s="7" t="s">
        <v>1689</v>
      </c>
      <c r="AC366">
        <f>COUNTIF(Sheet1!$A$1:$A$50,Firms!A366)</f>
        <v>1</v>
      </c>
      <c r="AD366" t="str">
        <f>SUBSTITUTE(AB366,"Seeded from CapIQ export. Numeric fields are regex first-pass — c","C")</f>
        <v>Crawler will confirm. capiq_description preserved for AI extraction fallback. | [extractor] Thesis-driven lower middle-market PE firm founded in 2015. Control equity buyouts with buy-and-build strategy. Target: highly fragmented, recession-resistant industries with $1B+ TAM. EBITDA $2-14M, 30%+ gross margins, 10%+ EBITDA margins, 90%+ FCF conversion. Multiple funds (Fund I, II, III) referenced. Geography includes USA and Canada. No AUM or specific fund vintage data publicly disclosed.</v>
      </c>
    </row>
    <row r="367" spans="1:30" ht="15" hidden="1" customHeight="1" x14ac:dyDescent="0.45">
      <c r="A367" s="2" t="s">
        <v>1690</v>
      </c>
      <c r="B367" s="2" t="s">
        <v>29</v>
      </c>
      <c r="C367" s="2" t="s">
        <v>1691</v>
      </c>
      <c r="D367" s="2" t="s">
        <v>1692</v>
      </c>
      <c r="E367" s="2" t="s">
        <v>1693</v>
      </c>
      <c r="F367" s="2" t="s">
        <v>31</v>
      </c>
      <c r="G367" s="2"/>
      <c r="H367" s="2"/>
      <c r="I367" s="2"/>
      <c r="J367" s="2"/>
      <c r="K367" s="2"/>
      <c r="L367" s="2"/>
      <c r="M367" s="2"/>
      <c r="N367" s="2"/>
      <c r="O367" s="2" t="s">
        <v>193</v>
      </c>
      <c r="P367" s="2" t="s">
        <v>1694</v>
      </c>
      <c r="Q367" s="2"/>
      <c r="R367" s="2"/>
      <c r="S367" s="2"/>
      <c r="T367" s="2"/>
      <c r="U367" s="2" t="s">
        <v>35</v>
      </c>
      <c r="V367" s="2"/>
      <c r="W367" s="2"/>
      <c r="X367" s="2" t="s">
        <v>38</v>
      </c>
      <c r="Y367" s="2" t="s">
        <v>39</v>
      </c>
      <c r="Z367" s="2" t="s">
        <v>40</v>
      </c>
      <c r="AA367" s="2" t="s">
        <v>41</v>
      </c>
      <c r="AB367" s="3" t="s">
        <v>1695</v>
      </c>
      <c r="AC367">
        <f>COUNTIF(Sheet1!$A$1:$A$50,Firms!A367)</f>
        <v>0</v>
      </c>
    </row>
    <row r="368" spans="1:30" ht="15" hidden="1" customHeight="1" x14ac:dyDescent="0.45">
      <c r="A368" s="4" t="s">
        <v>1696</v>
      </c>
      <c r="B368" s="4" t="s">
        <v>44</v>
      </c>
      <c r="C368" s="4"/>
      <c r="D368" s="4"/>
      <c r="E368" s="4" t="s">
        <v>1697</v>
      </c>
      <c r="F368" s="4"/>
      <c r="G368" s="4"/>
      <c r="H368" s="4"/>
      <c r="I368" s="4"/>
      <c r="J368" s="4"/>
      <c r="K368" s="4"/>
      <c r="L368" s="4"/>
      <c r="M368" s="4"/>
      <c r="N368" s="4"/>
      <c r="O368" s="4"/>
      <c r="P368" s="4" t="s">
        <v>1205</v>
      </c>
      <c r="Q368" s="4"/>
      <c r="R368" s="4"/>
      <c r="S368" s="4"/>
      <c r="T368" s="4" t="s">
        <v>1698</v>
      </c>
      <c r="U368" s="4" t="s">
        <v>35</v>
      </c>
      <c r="V368" s="4"/>
      <c r="W368" s="4"/>
      <c r="X368" s="4" t="s">
        <v>47</v>
      </c>
      <c r="Y368" s="4" t="s">
        <v>48</v>
      </c>
      <c r="Z368" s="4" t="s">
        <v>40</v>
      </c>
      <c r="AA368" s="4" t="s">
        <v>41</v>
      </c>
      <c r="AB368" s="5" t="s">
        <v>1699</v>
      </c>
      <c r="AC368">
        <f>COUNTIF(Sheet1!$A$1:$A$50,Firms!A368)</f>
        <v>0</v>
      </c>
    </row>
    <row r="369" spans="1:30" ht="15" hidden="1" customHeight="1" x14ac:dyDescent="0.45">
      <c r="A369" s="2" t="s">
        <v>1700</v>
      </c>
      <c r="B369" s="2" t="s">
        <v>29</v>
      </c>
      <c r="C369" s="2" t="s">
        <v>1701</v>
      </c>
      <c r="D369" s="2" t="s">
        <v>1702</v>
      </c>
      <c r="E369" s="2" t="s">
        <v>1703</v>
      </c>
      <c r="F369" s="2" t="s">
        <v>31</v>
      </c>
      <c r="G369" s="2" t="s">
        <v>69</v>
      </c>
      <c r="H369" s="2"/>
      <c r="I369" s="2"/>
      <c r="J369" s="2"/>
      <c r="K369" s="2"/>
      <c r="L369" s="2"/>
      <c r="M369" s="2"/>
      <c r="N369" s="2"/>
      <c r="O369" s="2" t="s">
        <v>294</v>
      </c>
      <c r="P369" s="2" t="s">
        <v>111</v>
      </c>
      <c r="Q369" s="2"/>
      <c r="R369" s="2"/>
      <c r="S369" s="2"/>
      <c r="T369" s="2" t="s">
        <v>737</v>
      </c>
      <c r="U369" s="2" t="s">
        <v>35</v>
      </c>
      <c r="V369" s="2" t="s">
        <v>1704</v>
      </c>
      <c r="W369" s="2"/>
      <c r="X369" s="2" t="s">
        <v>38</v>
      </c>
      <c r="Y369" s="2" t="s">
        <v>39</v>
      </c>
      <c r="Z369" s="2" t="s">
        <v>40</v>
      </c>
      <c r="AA369" s="2" t="s">
        <v>41</v>
      </c>
      <c r="AB369" s="3" t="s">
        <v>1705</v>
      </c>
      <c r="AC369">
        <f>COUNTIF(Sheet1!$A$1:$A$50,Firms!A369)</f>
        <v>0</v>
      </c>
    </row>
    <row r="370" spans="1:30" ht="15" hidden="1" customHeight="1" x14ac:dyDescent="0.45">
      <c r="A370" s="2" t="s">
        <v>1706</v>
      </c>
      <c r="B370" s="2" t="s">
        <v>29</v>
      </c>
      <c r="C370" s="2"/>
      <c r="D370" s="2"/>
      <c r="E370" s="2" t="s">
        <v>1707</v>
      </c>
      <c r="F370" s="2" t="s">
        <v>81</v>
      </c>
      <c r="G370" s="2"/>
      <c r="H370" s="2"/>
      <c r="I370" s="2"/>
      <c r="J370" s="2"/>
      <c r="K370" s="2"/>
      <c r="L370" s="2"/>
      <c r="M370" s="2"/>
      <c r="N370" s="2"/>
      <c r="O370" s="2" t="s">
        <v>32</v>
      </c>
      <c r="P370" s="2" t="s">
        <v>1708</v>
      </c>
      <c r="Q370" s="2"/>
      <c r="R370" s="2"/>
      <c r="S370" s="2"/>
      <c r="T370" s="2"/>
      <c r="U370" s="2" t="s">
        <v>35</v>
      </c>
      <c r="V370" s="2"/>
      <c r="W370" s="2"/>
      <c r="X370" s="2" t="s">
        <v>38</v>
      </c>
      <c r="Y370" s="2" t="s">
        <v>39</v>
      </c>
      <c r="Z370" s="2" t="s">
        <v>40</v>
      </c>
      <c r="AA370" s="2" t="s">
        <v>41</v>
      </c>
      <c r="AB370" s="3" t="s">
        <v>1709</v>
      </c>
      <c r="AC370">
        <f>COUNTIF(Sheet1!$A$1:$A$50,Firms!A370)</f>
        <v>0</v>
      </c>
    </row>
    <row r="371" spans="1:30" ht="15" hidden="1" customHeight="1" x14ac:dyDescent="0.45">
      <c r="A371" s="6" t="s">
        <v>1710</v>
      </c>
      <c r="B371" s="6" t="s">
        <v>29</v>
      </c>
      <c r="C371" s="6"/>
      <c r="D371" s="6"/>
      <c r="E371" s="6" t="s">
        <v>1711</v>
      </c>
      <c r="F371" s="6" t="s">
        <v>31</v>
      </c>
      <c r="G371" s="6" t="s">
        <v>56</v>
      </c>
      <c r="H371" s="6" t="s">
        <v>456</v>
      </c>
      <c r="I371" s="6"/>
      <c r="J371" s="6"/>
      <c r="K371" s="6"/>
      <c r="L371" s="6"/>
      <c r="M371" s="6" t="s">
        <v>70</v>
      </c>
      <c r="N371" s="6" t="s">
        <v>59</v>
      </c>
      <c r="O371" s="6" t="s">
        <v>60</v>
      </c>
      <c r="P371" s="6" t="s">
        <v>533</v>
      </c>
      <c r="Q371" s="6" t="s">
        <v>1712</v>
      </c>
      <c r="R371" s="6" t="s">
        <v>1713</v>
      </c>
      <c r="S371" s="6"/>
      <c r="T371" s="6" t="s">
        <v>367</v>
      </c>
      <c r="U371" s="6" t="s">
        <v>35</v>
      </c>
      <c r="V371" s="6"/>
      <c r="W371" s="6"/>
      <c r="X371" s="6" t="s">
        <v>63</v>
      </c>
      <c r="Y371" s="6" t="s">
        <v>39</v>
      </c>
      <c r="Z371" s="6" t="s">
        <v>40</v>
      </c>
      <c r="AA371" s="6" t="s">
        <v>41</v>
      </c>
      <c r="AB371" s="7" t="s">
        <v>1714</v>
      </c>
      <c r="AC371">
        <f>COUNTIF(Sheet1!$A$1:$A$50,Firms!A371)</f>
        <v>0</v>
      </c>
    </row>
    <row r="372" spans="1:30" ht="15" hidden="1" customHeight="1" x14ac:dyDescent="0.45">
      <c r="A372" s="4" t="s">
        <v>1715</v>
      </c>
      <c r="B372" s="4" t="s">
        <v>29</v>
      </c>
      <c r="C372" s="4" t="s">
        <v>331</v>
      </c>
      <c r="D372" s="4" t="s">
        <v>332</v>
      </c>
      <c r="E372" s="4" t="s">
        <v>1716</v>
      </c>
      <c r="F372" s="4" t="s">
        <v>31</v>
      </c>
      <c r="G372" s="4"/>
      <c r="H372" s="4"/>
      <c r="I372" s="4"/>
      <c r="J372" s="4"/>
      <c r="K372" s="4"/>
      <c r="L372" s="4"/>
      <c r="M372" s="4"/>
      <c r="N372" s="4"/>
      <c r="O372" s="4"/>
      <c r="P372" s="4" t="s">
        <v>116</v>
      </c>
      <c r="Q372" s="4"/>
      <c r="R372" s="4"/>
      <c r="S372" s="4"/>
      <c r="T372" s="4"/>
      <c r="U372" s="4" t="s">
        <v>35</v>
      </c>
      <c r="V372" s="4"/>
      <c r="W372" s="4"/>
      <c r="X372" s="4" t="s">
        <v>47</v>
      </c>
      <c r="Y372" s="4" t="s">
        <v>48</v>
      </c>
      <c r="Z372" s="4" t="s">
        <v>40</v>
      </c>
      <c r="AA372" s="4" t="s">
        <v>41</v>
      </c>
      <c r="AB372" s="5" t="s">
        <v>1717</v>
      </c>
      <c r="AC372">
        <f>COUNTIF(Sheet1!$A$1:$A$50,Firms!A372)</f>
        <v>0</v>
      </c>
    </row>
    <row r="373" spans="1:30" ht="15" customHeight="1" x14ac:dyDescent="0.45">
      <c r="A373" s="6" t="s">
        <v>1718</v>
      </c>
      <c r="B373" s="6" t="s">
        <v>29</v>
      </c>
      <c r="C373" s="6" t="s">
        <v>51</v>
      </c>
      <c r="D373" s="6" t="s">
        <v>52</v>
      </c>
      <c r="E373" s="6" t="s">
        <v>1719</v>
      </c>
      <c r="F373" s="6" t="s">
        <v>81</v>
      </c>
      <c r="G373" s="6" t="s">
        <v>70</v>
      </c>
      <c r="H373" s="6" t="s">
        <v>456</v>
      </c>
      <c r="I373" s="6" t="s">
        <v>54</v>
      </c>
      <c r="J373" s="6" t="s">
        <v>70</v>
      </c>
      <c r="K373" s="6" t="s">
        <v>136</v>
      </c>
      <c r="L373" s="6" t="s">
        <v>456</v>
      </c>
      <c r="M373" s="6" t="s">
        <v>55</v>
      </c>
      <c r="N373" s="6" t="s">
        <v>1720</v>
      </c>
      <c r="O373" s="6" t="s">
        <v>32</v>
      </c>
      <c r="P373" s="6" t="s">
        <v>503</v>
      </c>
      <c r="Q373" s="6"/>
      <c r="R373" s="6"/>
      <c r="S373" s="6"/>
      <c r="T373" s="6" t="s">
        <v>1721</v>
      </c>
      <c r="U373" s="6" t="s">
        <v>35</v>
      </c>
      <c r="V373" s="6"/>
      <c r="W373" s="6"/>
      <c r="X373" s="6" t="s">
        <v>63</v>
      </c>
      <c r="Y373" s="6" t="s">
        <v>39</v>
      </c>
      <c r="Z373" s="6" t="s">
        <v>40</v>
      </c>
      <c r="AA373" s="6" t="s">
        <v>41</v>
      </c>
      <c r="AB373" s="7" t="s">
        <v>1722</v>
      </c>
      <c r="AC373">
        <f>COUNTIF(Sheet1!$A$1:$A$50,Firms!A373)</f>
        <v>1</v>
      </c>
      <c r="AD373" t="str">
        <f>SUBSTITUTE(AB373,"Seeded from CapIQ export. Numeric fields are regex first-pass — c","C")</f>
        <v>Crawler will confirm. capiq_description preserved for AI extraction fallback. | [extractor] Explicit investment criteria published on website. Founded 1991, 35+ years active. 47 platform investments, 165+ add-on acquisitions. Focus on middle-market distribution and business services with recession-resistant, secular growth characteristics. Targets market leaders with sustainable competitive advantages, strong management, demonstrated growth, and recurring customer demand. Equity check size range inferred from '$100-450M Equity Per Transaction' language.</v>
      </c>
    </row>
    <row r="374" spans="1:30" ht="15" hidden="1" customHeight="1" x14ac:dyDescent="0.45">
      <c r="A374" s="2" t="s">
        <v>1723</v>
      </c>
      <c r="B374" s="2" t="s">
        <v>29</v>
      </c>
      <c r="C374" s="2"/>
      <c r="D374" s="2"/>
      <c r="E374" s="2" t="s">
        <v>1724</v>
      </c>
      <c r="F374" s="2" t="s">
        <v>81</v>
      </c>
      <c r="G374" s="2"/>
      <c r="H374" s="2"/>
      <c r="I374" s="2"/>
      <c r="J374" s="2"/>
      <c r="K374" s="2"/>
      <c r="L374" s="2"/>
      <c r="M374" s="2"/>
      <c r="N374" s="2"/>
      <c r="O374" s="2" t="s">
        <v>193</v>
      </c>
      <c r="P374" s="2" t="s">
        <v>1725</v>
      </c>
      <c r="Q374" s="2"/>
      <c r="R374" s="2"/>
      <c r="S374" s="2"/>
      <c r="T374" s="2" t="s">
        <v>1726</v>
      </c>
      <c r="U374" s="2" t="s">
        <v>35</v>
      </c>
      <c r="V374" s="2"/>
      <c r="W374" s="2"/>
      <c r="X374" s="2" t="s">
        <v>38</v>
      </c>
      <c r="Y374" s="2" t="s">
        <v>39</v>
      </c>
      <c r="Z374" s="2" t="s">
        <v>40</v>
      </c>
      <c r="AA374" s="2" t="s">
        <v>41</v>
      </c>
      <c r="AB374" s="3" t="s">
        <v>1727</v>
      </c>
      <c r="AC374">
        <f>COUNTIF(Sheet1!$A$1:$A$50,Firms!A374)</f>
        <v>0</v>
      </c>
    </row>
    <row r="375" spans="1:30" ht="15" hidden="1" customHeight="1" x14ac:dyDescent="0.45">
      <c r="A375" s="6" t="s">
        <v>1728</v>
      </c>
      <c r="B375" s="6" t="s">
        <v>29</v>
      </c>
      <c r="C375" s="6" t="s">
        <v>132</v>
      </c>
      <c r="D375" s="6" t="s">
        <v>133</v>
      </c>
      <c r="E375" s="6" t="s">
        <v>1729</v>
      </c>
      <c r="F375" s="6" t="s">
        <v>31</v>
      </c>
      <c r="G375" s="6" t="s">
        <v>173</v>
      </c>
      <c r="H375" s="6" t="s">
        <v>59</v>
      </c>
      <c r="I375" s="6"/>
      <c r="J375" s="6" t="s">
        <v>1730</v>
      </c>
      <c r="K375" s="6"/>
      <c r="L375" s="6" t="s">
        <v>55</v>
      </c>
      <c r="M375" s="6"/>
      <c r="N375" s="6" t="s">
        <v>55</v>
      </c>
      <c r="O375" s="6" t="s">
        <v>32</v>
      </c>
      <c r="P375" s="6" t="s">
        <v>279</v>
      </c>
      <c r="Q375" s="6"/>
      <c r="R375" s="6"/>
      <c r="S375" s="6"/>
      <c r="T375" s="6" t="s">
        <v>59</v>
      </c>
      <c r="U375" s="6" t="s">
        <v>35</v>
      </c>
      <c r="V375" s="6"/>
      <c r="W375" s="6"/>
      <c r="X375" s="6" t="s">
        <v>63</v>
      </c>
      <c r="Y375" s="6" t="s">
        <v>39</v>
      </c>
      <c r="Z375" s="6" t="s">
        <v>40</v>
      </c>
      <c r="AA375" s="6" t="s">
        <v>41</v>
      </c>
      <c r="AB375" s="7" t="s">
        <v>1731</v>
      </c>
      <c r="AC375">
        <f>COUNTIF(Sheet1!$A$1:$A$50,Firms!A375)</f>
        <v>0</v>
      </c>
    </row>
    <row r="376" spans="1:30" ht="15" hidden="1" customHeight="1" x14ac:dyDescent="0.45">
      <c r="A376" s="6" t="s">
        <v>1732</v>
      </c>
      <c r="B376" s="6" t="s">
        <v>29</v>
      </c>
      <c r="C376" s="6" t="s">
        <v>331</v>
      </c>
      <c r="D376" s="6" t="s">
        <v>1733</v>
      </c>
      <c r="E376" s="6" t="s">
        <v>1734</v>
      </c>
      <c r="F376" s="6" t="s">
        <v>31</v>
      </c>
      <c r="G376" s="6"/>
      <c r="H376" s="6" t="s">
        <v>59</v>
      </c>
      <c r="I376" s="6" t="s">
        <v>135</v>
      </c>
      <c r="J376" s="6" t="s">
        <v>137</v>
      </c>
      <c r="K376" s="6"/>
      <c r="L376" s="6"/>
      <c r="M376" s="6"/>
      <c r="N376" s="6"/>
      <c r="O376" s="6" t="s">
        <v>72</v>
      </c>
      <c r="P376" s="6" t="s">
        <v>111</v>
      </c>
      <c r="Q376" s="6"/>
      <c r="R376" s="6"/>
      <c r="S376" s="6"/>
      <c r="T376" s="6" t="s">
        <v>57</v>
      </c>
      <c r="U376" s="6" t="s">
        <v>35</v>
      </c>
      <c r="V376" s="6"/>
      <c r="W376" s="6"/>
      <c r="X376" s="6" t="s">
        <v>63</v>
      </c>
      <c r="Y376" s="6" t="s">
        <v>39</v>
      </c>
      <c r="Z376" s="6" t="s">
        <v>40</v>
      </c>
      <c r="AA376" s="6" t="s">
        <v>41</v>
      </c>
      <c r="AB376" s="7" t="s">
        <v>1735</v>
      </c>
      <c r="AC376">
        <f>COUNTIF(Sheet1!$A$1:$A$50,Firms!A376)</f>
        <v>0</v>
      </c>
    </row>
    <row r="377" spans="1:30" ht="15" hidden="1" customHeight="1" x14ac:dyDescent="0.45">
      <c r="A377" s="6" t="s">
        <v>1736</v>
      </c>
      <c r="B377" s="6" t="s">
        <v>29</v>
      </c>
      <c r="C377" s="6"/>
      <c r="D377" s="6"/>
      <c r="E377" s="6" t="s">
        <v>1737</v>
      </c>
      <c r="F377" s="6" t="s">
        <v>81</v>
      </c>
      <c r="G377" s="6"/>
      <c r="H377" s="6"/>
      <c r="I377" s="6" t="s">
        <v>165</v>
      </c>
      <c r="J377" s="6" t="s">
        <v>58</v>
      </c>
      <c r="K377" s="6"/>
      <c r="L377" s="6"/>
      <c r="M377" s="6"/>
      <c r="N377" s="6"/>
      <c r="O377" s="6" t="s">
        <v>32</v>
      </c>
      <c r="P377" s="6" t="s">
        <v>111</v>
      </c>
      <c r="Q377" s="6"/>
      <c r="R377" s="6"/>
      <c r="S377" s="6" t="s">
        <v>1738</v>
      </c>
      <c r="T377" s="6"/>
      <c r="U377" s="6" t="s">
        <v>35</v>
      </c>
      <c r="V377" s="6"/>
      <c r="W377" s="6"/>
      <c r="X377" s="6" t="s">
        <v>63</v>
      </c>
      <c r="Y377" s="6" t="s">
        <v>39</v>
      </c>
      <c r="Z377" s="6" t="s">
        <v>40</v>
      </c>
      <c r="AA377" s="6" t="s">
        <v>41</v>
      </c>
      <c r="AB377" s="7" t="s">
        <v>1739</v>
      </c>
      <c r="AC377">
        <f>COUNTIF(Sheet1!$A$1:$A$50,Firms!A377)</f>
        <v>0</v>
      </c>
    </row>
    <row r="378" spans="1:30" ht="15" hidden="1" customHeight="1" x14ac:dyDescent="0.45">
      <c r="A378" s="2" t="s">
        <v>1740</v>
      </c>
      <c r="B378" s="2" t="s">
        <v>29</v>
      </c>
      <c r="C378" s="2" t="s">
        <v>78</v>
      </c>
      <c r="D378" s="2" t="s">
        <v>79</v>
      </c>
      <c r="E378" s="2" t="s">
        <v>1741</v>
      </c>
      <c r="F378" s="2" t="s">
        <v>31</v>
      </c>
      <c r="G378" s="2"/>
      <c r="H378" s="2"/>
      <c r="I378" s="2"/>
      <c r="J378" s="2"/>
      <c r="K378" s="2"/>
      <c r="L378" s="2"/>
      <c r="M378" s="2"/>
      <c r="N378" s="2"/>
      <c r="O378" s="2" t="s">
        <v>32</v>
      </c>
      <c r="P378" s="2" t="s">
        <v>484</v>
      </c>
      <c r="Q378" s="2"/>
      <c r="R378" s="2"/>
      <c r="S378" s="2"/>
      <c r="T378" s="2" t="s">
        <v>34</v>
      </c>
      <c r="U378" s="2" t="s">
        <v>35</v>
      </c>
      <c r="V378" s="2"/>
      <c r="W378" s="2"/>
      <c r="X378" s="2" t="s">
        <v>38</v>
      </c>
      <c r="Y378" s="2" t="s">
        <v>39</v>
      </c>
      <c r="Z378" s="2" t="s">
        <v>40</v>
      </c>
      <c r="AA378" s="2" t="s">
        <v>41</v>
      </c>
      <c r="AB378" s="3" t="s">
        <v>1742</v>
      </c>
      <c r="AC378">
        <f>COUNTIF(Sheet1!$A$1:$A$50,Firms!A378)</f>
        <v>0</v>
      </c>
    </row>
    <row r="379" spans="1:30" ht="15" hidden="1" customHeight="1" x14ac:dyDescent="0.45">
      <c r="A379" s="2" t="s">
        <v>1743</v>
      </c>
      <c r="B379" s="2" t="s">
        <v>29</v>
      </c>
      <c r="C379" s="2"/>
      <c r="D379" s="2"/>
      <c r="E379" s="2" t="s">
        <v>1744</v>
      </c>
      <c r="F379" s="2" t="s">
        <v>81</v>
      </c>
      <c r="G379" s="2" t="s">
        <v>469</v>
      </c>
      <c r="H379" s="2"/>
      <c r="I379" s="2"/>
      <c r="J379" s="2"/>
      <c r="K379" s="2"/>
      <c r="L379" s="2"/>
      <c r="M379" s="2"/>
      <c r="N379" s="2"/>
      <c r="O379" s="2" t="s">
        <v>252</v>
      </c>
      <c r="P379" s="2" t="s">
        <v>73</v>
      </c>
      <c r="Q379" s="2"/>
      <c r="R379" s="2"/>
      <c r="S379" s="2"/>
      <c r="T379" s="2"/>
      <c r="U379" s="2" t="s">
        <v>35</v>
      </c>
      <c r="V379" s="2"/>
      <c r="W379" s="2"/>
      <c r="X379" s="2" t="s">
        <v>38</v>
      </c>
      <c r="Y379" s="2" t="s">
        <v>39</v>
      </c>
      <c r="Z379" s="2" t="s">
        <v>40</v>
      </c>
      <c r="AA379" s="2" t="s">
        <v>41</v>
      </c>
      <c r="AB379" s="3" t="s">
        <v>1745</v>
      </c>
      <c r="AC379">
        <f>COUNTIF(Sheet1!$A$1:$A$50,Firms!A379)</f>
        <v>0</v>
      </c>
    </row>
    <row r="380" spans="1:30" ht="15" hidden="1" customHeight="1" x14ac:dyDescent="0.45">
      <c r="A380" s="6" t="s">
        <v>1746</v>
      </c>
      <c r="B380" s="6" t="s">
        <v>29</v>
      </c>
      <c r="C380" s="6" t="s">
        <v>101</v>
      </c>
      <c r="D380" s="6" t="s">
        <v>1747</v>
      </c>
      <c r="E380" s="6" t="s">
        <v>1748</v>
      </c>
      <c r="F380" s="6" t="s">
        <v>31</v>
      </c>
      <c r="G380" s="6" t="s">
        <v>137</v>
      </c>
      <c r="H380" s="6"/>
      <c r="I380" s="6"/>
      <c r="J380" s="6"/>
      <c r="K380" s="6"/>
      <c r="L380" s="6"/>
      <c r="M380" s="6" t="s">
        <v>56</v>
      </c>
      <c r="N380" s="6" t="s">
        <v>59</v>
      </c>
      <c r="O380" s="6" t="s">
        <v>193</v>
      </c>
      <c r="P380" s="6" t="s">
        <v>728</v>
      </c>
      <c r="Q380" s="6"/>
      <c r="R380" s="6"/>
      <c r="S380" s="6"/>
      <c r="T380" s="6" t="s">
        <v>1382</v>
      </c>
      <c r="U380" s="6" t="s">
        <v>35</v>
      </c>
      <c r="V380" s="6"/>
      <c r="W380" s="6" t="s">
        <v>1749</v>
      </c>
      <c r="X380" s="6" t="s">
        <v>63</v>
      </c>
      <c r="Y380" s="6" t="s">
        <v>39</v>
      </c>
      <c r="Z380" s="6" t="s">
        <v>40</v>
      </c>
      <c r="AA380" s="6" t="s">
        <v>41</v>
      </c>
      <c r="AB380" s="7" t="s">
        <v>1750</v>
      </c>
      <c r="AC380">
        <f>COUNTIF(Sheet1!$A$1:$A$50,Firms!A380)</f>
        <v>0</v>
      </c>
    </row>
    <row r="381" spans="1:30" ht="15" hidden="1" customHeight="1" x14ac:dyDescent="0.45">
      <c r="A381" s="4" t="s">
        <v>1751</v>
      </c>
      <c r="B381" s="4" t="s">
        <v>29</v>
      </c>
      <c r="C381" s="4"/>
      <c r="D381" s="4"/>
      <c r="E381" s="4" t="s">
        <v>1752</v>
      </c>
      <c r="F381" s="4"/>
      <c r="G381" s="4"/>
      <c r="H381" s="4"/>
      <c r="I381" s="4"/>
      <c r="J381" s="4"/>
      <c r="K381" s="4"/>
      <c r="L381" s="4"/>
      <c r="M381" s="4"/>
      <c r="N381" s="4"/>
      <c r="O381" s="4"/>
      <c r="P381" s="4" t="s">
        <v>226</v>
      </c>
      <c r="Q381" s="4"/>
      <c r="R381" s="4"/>
      <c r="S381" s="4"/>
      <c r="T381" s="4" t="s">
        <v>55</v>
      </c>
      <c r="U381" s="4" t="s">
        <v>35</v>
      </c>
      <c r="V381" s="4"/>
      <c r="W381" s="4"/>
      <c r="X381" s="4" t="s">
        <v>47</v>
      </c>
      <c r="Y381" s="4" t="s">
        <v>48</v>
      </c>
      <c r="Z381" s="4" t="s">
        <v>40</v>
      </c>
      <c r="AA381" s="4" t="s">
        <v>41</v>
      </c>
      <c r="AB381" s="5" t="s">
        <v>1753</v>
      </c>
      <c r="AC381">
        <f>COUNTIF(Sheet1!$A$1:$A$50,Firms!A381)</f>
        <v>0</v>
      </c>
    </row>
    <row r="382" spans="1:30" ht="15" hidden="1" customHeight="1" x14ac:dyDescent="0.45">
      <c r="A382" s="2" t="s">
        <v>1754</v>
      </c>
      <c r="B382" s="2" t="s">
        <v>29</v>
      </c>
      <c r="C382" s="2" t="s">
        <v>1330</v>
      </c>
      <c r="D382" s="2" t="s">
        <v>1331</v>
      </c>
      <c r="E382" s="2" t="s">
        <v>1755</v>
      </c>
      <c r="F382" s="2" t="s">
        <v>31</v>
      </c>
      <c r="G382" s="2"/>
      <c r="H382" s="2"/>
      <c r="I382" s="2"/>
      <c r="J382" s="2"/>
      <c r="K382" s="2"/>
      <c r="L382" s="2"/>
      <c r="M382" s="2"/>
      <c r="N382" s="2"/>
      <c r="O382" s="2" t="s">
        <v>32</v>
      </c>
      <c r="P382" s="2" t="s">
        <v>1756</v>
      </c>
      <c r="Q382" s="2"/>
      <c r="R382" s="2"/>
      <c r="S382" s="2"/>
      <c r="T382" s="2" t="s">
        <v>334</v>
      </c>
      <c r="U382" s="2" t="s">
        <v>35</v>
      </c>
      <c r="V382" s="2"/>
      <c r="W382" s="2"/>
      <c r="X382" s="2" t="s">
        <v>38</v>
      </c>
      <c r="Y382" s="2" t="s">
        <v>39</v>
      </c>
      <c r="Z382" s="2" t="s">
        <v>40</v>
      </c>
      <c r="AA382" s="2" t="s">
        <v>41</v>
      </c>
      <c r="AB382" s="3" t="s">
        <v>1757</v>
      </c>
      <c r="AC382">
        <f>COUNTIF(Sheet1!$A$1:$A$50,Firms!A382)</f>
        <v>0</v>
      </c>
    </row>
    <row r="383" spans="1:30" ht="15" hidden="1" customHeight="1" x14ac:dyDescent="0.45">
      <c r="A383" s="4" t="s">
        <v>1758</v>
      </c>
      <c r="B383" s="4" t="s">
        <v>29</v>
      </c>
      <c r="C383" s="4"/>
      <c r="D383" s="4"/>
      <c r="E383" s="4" t="s">
        <v>1759</v>
      </c>
      <c r="F383" s="4"/>
      <c r="G383" s="4"/>
      <c r="H383" s="4"/>
      <c r="I383" s="4"/>
      <c r="J383" s="4"/>
      <c r="K383" s="4"/>
      <c r="L383" s="4"/>
      <c r="M383" s="4"/>
      <c r="N383" s="4"/>
      <c r="O383" s="4"/>
      <c r="P383" s="4" t="s">
        <v>889</v>
      </c>
      <c r="Q383" s="4"/>
      <c r="R383" s="4"/>
      <c r="S383" s="4"/>
      <c r="T383" s="4"/>
      <c r="U383" s="4" t="s">
        <v>35</v>
      </c>
      <c r="V383" s="4"/>
      <c r="W383" s="4"/>
      <c r="X383" s="4" t="s">
        <v>47</v>
      </c>
      <c r="Y383" s="4" t="s">
        <v>48</v>
      </c>
      <c r="Z383" s="4" t="s">
        <v>40</v>
      </c>
      <c r="AA383" s="4" t="s">
        <v>41</v>
      </c>
      <c r="AB383" s="5" t="s">
        <v>1760</v>
      </c>
      <c r="AC383">
        <f>COUNTIF(Sheet1!$A$1:$A$50,Firms!A383)</f>
        <v>0</v>
      </c>
    </row>
    <row r="384" spans="1:30" ht="15" hidden="1" customHeight="1" x14ac:dyDescent="0.45">
      <c r="A384" s="4" t="s">
        <v>1761</v>
      </c>
      <c r="B384" s="4" t="s">
        <v>44</v>
      </c>
      <c r="C384" s="4"/>
      <c r="D384" s="4"/>
      <c r="E384" s="4" t="s">
        <v>1762</v>
      </c>
      <c r="F384" s="4"/>
      <c r="G384" s="4"/>
      <c r="H384" s="4"/>
      <c r="I384" s="4"/>
      <c r="J384" s="4"/>
      <c r="K384" s="4"/>
      <c r="L384" s="4"/>
      <c r="M384" s="4"/>
      <c r="N384" s="4"/>
      <c r="O384" s="4"/>
      <c r="P384" s="4" t="s">
        <v>889</v>
      </c>
      <c r="Q384" s="4"/>
      <c r="R384" s="4"/>
      <c r="S384" s="4"/>
      <c r="T384" s="4" t="s">
        <v>1763</v>
      </c>
      <c r="U384" s="4" t="s">
        <v>35</v>
      </c>
      <c r="V384" s="4"/>
      <c r="W384" s="4"/>
      <c r="X384" s="4" t="s">
        <v>47</v>
      </c>
      <c r="Y384" s="4" t="s">
        <v>48</v>
      </c>
      <c r="Z384" s="4" t="s">
        <v>40</v>
      </c>
      <c r="AA384" s="4" t="s">
        <v>41</v>
      </c>
      <c r="AB384" s="5" t="s">
        <v>1764</v>
      </c>
      <c r="AC384">
        <f>COUNTIF(Sheet1!$A$1:$A$50,Firms!A384)</f>
        <v>0</v>
      </c>
    </row>
    <row r="385" spans="1:30" ht="15" hidden="1" customHeight="1" x14ac:dyDescent="0.45">
      <c r="A385" s="2" t="s">
        <v>1765</v>
      </c>
      <c r="B385" s="2" t="s">
        <v>291</v>
      </c>
      <c r="C385" s="2"/>
      <c r="D385" s="2"/>
      <c r="E385" s="2" t="s">
        <v>1766</v>
      </c>
      <c r="F385" s="2"/>
      <c r="G385" s="2"/>
      <c r="H385" s="2"/>
      <c r="I385" s="2"/>
      <c r="J385" s="2"/>
      <c r="K385" s="2"/>
      <c r="L385" s="2"/>
      <c r="M385" s="2"/>
      <c r="N385" s="2"/>
      <c r="O385" s="2" t="s">
        <v>406</v>
      </c>
      <c r="P385" s="2" t="s">
        <v>46</v>
      </c>
      <c r="Q385" s="2" t="s">
        <v>158</v>
      </c>
      <c r="R385" s="2"/>
      <c r="S385" s="2"/>
      <c r="T385" s="2"/>
      <c r="U385" s="2" t="s">
        <v>35</v>
      </c>
      <c r="V385" s="2"/>
      <c r="W385" s="2"/>
      <c r="X385" s="2" t="s">
        <v>38</v>
      </c>
      <c r="Y385" s="2" t="s">
        <v>39</v>
      </c>
      <c r="Z385" s="2" t="s">
        <v>40</v>
      </c>
      <c r="AA385" s="2" t="s">
        <v>41</v>
      </c>
      <c r="AB385" s="3" t="s">
        <v>1767</v>
      </c>
      <c r="AC385">
        <f>COUNTIF(Sheet1!$A$1:$A$50,Firms!A385)</f>
        <v>0</v>
      </c>
    </row>
    <row r="386" spans="1:30" ht="15" hidden="1" customHeight="1" x14ac:dyDescent="0.45">
      <c r="A386" s="2" t="s">
        <v>1768</v>
      </c>
      <c r="B386" s="2" t="s">
        <v>29</v>
      </c>
      <c r="C386" s="2" t="s">
        <v>101</v>
      </c>
      <c r="D386" s="2" t="s">
        <v>151</v>
      </c>
      <c r="E386" s="2" t="s">
        <v>1769</v>
      </c>
      <c r="F386" s="2" t="s">
        <v>31</v>
      </c>
      <c r="G386" s="2"/>
      <c r="H386" s="2"/>
      <c r="I386" s="2"/>
      <c r="J386" s="2"/>
      <c r="K386" s="2"/>
      <c r="L386" s="2"/>
      <c r="M386" s="2"/>
      <c r="N386" s="2"/>
      <c r="O386" s="2" t="s">
        <v>193</v>
      </c>
      <c r="P386" s="2" t="s">
        <v>1770</v>
      </c>
      <c r="Q386" s="2"/>
      <c r="R386" s="2"/>
      <c r="S386" s="2"/>
      <c r="T386" s="2" t="s">
        <v>324</v>
      </c>
      <c r="U386" s="2" t="s">
        <v>35</v>
      </c>
      <c r="V386" s="2"/>
      <c r="W386" s="2"/>
      <c r="X386" s="2" t="s">
        <v>38</v>
      </c>
      <c r="Y386" s="2" t="s">
        <v>39</v>
      </c>
      <c r="Z386" s="2" t="s">
        <v>40</v>
      </c>
      <c r="AA386" s="2" t="s">
        <v>41</v>
      </c>
      <c r="AB386" s="3" t="s">
        <v>1771</v>
      </c>
      <c r="AC386">
        <f>COUNTIF(Sheet1!$A$1:$A$50,Firms!A386)</f>
        <v>0</v>
      </c>
    </row>
    <row r="387" spans="1:30" ht="15" hidden="1" customHeight="1" x14ac:dyDescent="0.45">
      <c r="A387" s="2" t="s">
        <v>1772</v>
      </c>
      <c r="B387" s="2" t="s">
        <v>29</v>
      </c>
      <c r="C387" s="2"/>
      <c r="D387" s="2"/>
      <c r="E387" s="2" t="s">
        <v>1773</v>
      </c>
      <c r="F387" s="2" t="s">
        <v>81</v>
      </c>
      <c r="G387" s="2"/>
      <c r="H387" s="2"/>
      <c r="I387" s="2"/>
      <c r="J387" s="2"/>
      <c r="K387" s="2"/>
      <c r="L387" s="2"/>
      <c r="M387" s="2"/>
      <c r="N387" s="2"/>
      <c r="O387" s="2" t="s">
        <v>32</v>
      </c>
      <c r="P387" s="2" t="s">
        <v>105</v>
      </c>
      <c r="Q387" s="2"/>
      <c r="R387" s="2"/>
      <c r="S387" s="2"/>
      <c r="T387" s="2"/>
      <c r="U387" s="2" t="s">
        <v>35</v>
      </c>
      <c r="V387" s="2" t="s">
        <v>1774</v>
      </c>
      <c r="W387" s="2"/>
      <c r="X387" s="2" t="s">
        <v>38</v>
      </c>
      <c r="Y387" s="2" t="s">
        <v>39</v>
      </c>
      <c r="Z387" s="2" t="s">
        <v>40</v>
      </c>
      <c r="AA387" s="2" t="s">
        <v>41</v>
      </c>
      <c r="AB387" s="3" t="s">
        <v>1775</v>
      </c>
      <c r="AC387">
        <f>COUNTIF(Sheet1!$A$1:$A$50,Firms!A387)</f>
        <v>0</v>
      </c>
    </row>
    <row r="388" spans="1:30" ht="15" hidden="1" customHeight="1" x14ac:dyDescent="0.45">
      <c r="A388" s="2" t="s">
        <v>1776</v>
      </c>
      <c r="B388" s="2" t="s">
        <v>29</v>
      </c>
      <c r="C388" s="2"/>
      <c r="D388" s="2" t="s">
        <v>337</v>
      </c>
      <c r="E388" s="2" t="s">
        <v>1777</v>
      </c>
      <c r="F388" s="2" t="s">
        <v>405</v>
      </c>
      <c r="G388" s="2"/>
      <c r="H388" s="2"/>
      <c r="I388" s="2"/>
      <c r="J388" s="2"/>
      <c r="K388" s="2"/>
      <c r="L388" s="2"/>
      <c r="M388" s="2"/>
      <c r="N388" s="2"/>
      <c r="O388" s="2" t="s">
        <v>32</v>
      </c>
      <c r="P388" s="2" t="s">
        <v>279</v>
      </c>
      <c r="Q388" s="2"/>
      <c r="R388" s="2"/>
      <c r="S388" s="2"/>
      <c r="T388" s="2" t="s">
        <v>1778</v>
      </c>
      <c r="U388" s="2" t="s">
        <v>35</v>
      </c>
      <c r="V388" s="2"/>
      <c r="W388" s="2"/>
      <c r="X388" s="2" t="s">
        <v>38</v>
      </c>
      <c r="Y388" s="2" t="s">
        <v>39</v>
      </c>
      <c r="Z388" s="2" t="s">
        <v>40</v>
      </c>
      <c r="AA388" s="2" t="s">
        <v>41</v>
      </c>
      <c r="AB388" s="3" t="s">
        <v>1779</v>
      </c>
      <c r="AC388">
        <f>COUNTIF(Sheet1!$A$1:$A$50,Firms!A388)</f>
        <v>0</v>
      </c>
    </row>
    <row r="389" spans="1:30" ht="15" hidden="1" customHeight="1" x14ac:dyDescent="0.45">
      <c r="A389" s="4" t="s">
        <v>1780</v>
      </c>
      <c r="B389" s="4" t="s">
        <v>44</v>
      </c>
      <c r="C389" s="4"/>
      <c r="D389" s="4"/>
      <c r="E389" s="4" t="s">
        <v>1781</v>
      </c>
      <c r="F389" s="4"/>
      <c r="G389" s="4"/>
      <c r="H389" s="4"/>
      <c r="I389" s="4"/>
      <c r="J389" s="4"/>
      <c r="K389" s="4"/>
      <c r="L389" s="4"/>
      <c r="M389" s="4"/>
      <c r="N389" s="4"/>
      <c r="O389" s="4"/>
      <c r="P389" s="4" t="s">
        <v>116</v>
      </c>
      <c r="Q389" s="4"/>
      <c r="R389" s="4"/>
      <c r="S389" s="4"/>
      <c r="T389" s="4" t="s">
        <v>1782</v>
      </c>
      <c r="U389" s="4" t="s">
        <v>35</v>
      </c>
      <c r="V389" s="4"/>
      <c r="W389" s="4"/>
      <c r="X389" s="4" t="s">
        <v>47</v>
      </c>
      <c r="Y389" s="4" t="s">
        <v>48</v>
      </c>
      <c r="Z389" s="4" t="s">
        <v>40</v>
      </c>
      <c r="AA389" s="4" t="s">
        <v>41</v>
      </c>
      <c r="AB389" s="5" t="s">
        <v>1783</v>
      </c>
      <c r="AC389">
        <f>COUNTIF(Sheet1!$A$1:$A$50,Firms!A389)</f>
        <v>0</v>
      </c>
    </row>
    <row r="390" spans="1:30" ht="15" customHeight="1" x14ac:dyDescent="0.45">
      <c r="A390" s="2" t="s">
        <v>1784</v>
      </c>
      <c r="B390" s="2" t="s">
        <v>29</v>
      </c>
      <c r="C390" s="2"/>
      <c r="D390" s="2"/>
      <c r="E390" s="2" t="s">
        <v>1785</v>
      </c>
      <c r="F390" s="2" t="s">
        <v>81</v>
      </c>
      <c r="G390" s="2"/>
      <c r="H390" s="2"/>
      <c r="I390" s="2"/>
      <c r="J390" s="2"/>
      <c r="K390" s="2"/>
      <c r="L390" s="2"/>
      <c r="M390" s="2"/>
      <c r="N390" s="2"/>
      <c r="O390" s="2" t="s">
        <v>32</v>
      </c>
      <c r="P390" s="2" t="s">
        <v>1786</v>
      </c>
      <c r="Q390" s="2"/>
      <c r="R390" s="2"/>
      <c r="S390" s="2"/>
      <c r="T390" s="2" t="s">
        <v>1787</v>
      </c>
      <c r="U390" s="2" t="s">
        <v>35</v>
      </c>
      <c r="V390" s="2"/>
      <c r="W390" s="2"/>
      <c r="X390" s="2" t="s">
        <v>38</v>
      </c>
      <c r="Y390" s="2" t="s">
        <v>39</v>
      </c>
      <c r="Z390" s="2" t="s">
        <v>40</v>
      </c>
      <c r="AA390" s="2" t="s">
        <v>41</v>
      </c>
      <c r="AB390" s="3" t="s">
        <v>1788</v>
      </c>
      <c r="AC390">
        <f>COUNTIF(Sheet1!$A$1:$A$50,Firms!A390)</f>
        <v>1</v>
      </c>
      <c r="AD390" t="str">
        <f>SUBSTITUTE(AB390,"Seeded from CapIQ export. Numeric fields are regex first-pass — c","C")</f>
        <v>Crawler will confirm. capiq_description preserved for AI extraction fallback. | [extractor] TPG Capital, L.P. is a PE firm with 30+ year history. Multiple platforms exist (Capital, Growth, Impact, Credit, Real Estate). Source pages confirm Consumer and Business Services sector focus with specific subsector examples. Growth-oriented language in consumer describes control buyouts of established companies (Chobani, Petco, Viking Cruises, Life Time), not Growth Equity minority stakes. US investments confirmed via deal examples. HQ location, specific fund names, vintages, and AUM not found in provided pages.</v>
      </c>
    </row>
    <row r="391" spans="1:30" ht="15" hidden="1" customHeight="1" x14ac:dyDescent="0.45">
      <c r="A391" s="2" t="s">
        <v>1789</v>
      </c>
      <c r="B391" s="2" t="s">
        <v>29</v>
      </c>
      <c r="C391" s="2"/>
      <c r="D391" s="2"/>
      <c r="E391" s="2" t="s">
        <v>1790</v>
      </c>
      <c r="F391" s="2" t="s">
        <v>81</v>
      </c>
      <c r="G391" s="2"/>
      <c r="H391" s="2"/>
      <c r="I391" s="2"/>
      <c r="J391" s="2"/>
      <c r="K391" s="2"/>
      <c r="L391" s="2"/>
      <c r="M391" s="2"/>
      <c r="N391" s="2"/>
      <c r="O391" s="2" t="s">
        <v>895</v>
      </c>
      <c r="P391" s="2" t="s">
        <v>1791</v>
      </c>
      <c r="Q391" s="2"/>
      <c r="R391" s="2"/>
      <c r="S391" s="2"/>
      <c r="T391" s="2" t="s">
        <v>1792</v>
      </c>
      <c r="U391" s="2" t="s">
        <v>35</v>
      </c>
      <c r="V391" s="2"/>
      <c r="W391" s="2" t="s">
        <v>1793</v>
      </c>
      <c r="X391" s="2" t="s">
        <v>38</v>
      </c>
      <c r="Y391" s="2" t="s">
        <v>39</v>
      </c>
      <c r="Z391" s="2" t="s">
        <v>40</v>
      </c>
      <c r="AA391" s="2" t="s">
        <v>41</v>
      </c>
      <c r="AB391" s="3" t="s">
        <v>1794</v>
      </c>
      <c r="AC391">
        <f>COUNTIF(Sheet1!$A$1:$A$50,Firms!A391)</f>
        <v>0</v>
      </c>
    </row>
    <row r="392" spans="1:30" ht="15" customHeight="1" x14ac:dyDescent="0.45">
      <c r="A392" s="6" t="s">
        <v>1795</v>
      </c>
      <c r="B392" s="6" t="s">
        <v>29</v>
      </c>
      <c r="C392" s="6" t="s">
        <v>272</v>
      </c>
      <c r="D392" s="6" t="s">
        <v>273</v>
      </c>
      <c r="E392" s="6" t="s">
        <v>1796</v>
      </c>
      <c r="F392" s="6" t="s">
        <v>31</v>
      </c>
      <c r="G392" s="6" t="s">
        <v>192</v>
      </c>
      <c r="H392" s="6" t="s">
        <v>56</v>
      </c>
      <c r="I392" s="6" t="s">
        <v>125</v>
      </c>
      <c r="J392" s="6" t="s">
        <v>192</v>
      </c>
      <c r="K392" s="6" t="s">
        <v>54</v>
      </c>
      <c r="L392" s="6" t="s">
        <v>55</v>
      </c>
      <c r="M392" s="6" t="s">
        <v>69</v>
      </c>
      <c r="N392" s="6" t="s">
        <v>110</v>
      </c>
      <c r="O392" s="6" t="s">
        <v>72</v>
      </c>
      <c r="P392" s="6" t="s">
        <v>410</v>
      </c>
      <c r="Q392" s="6" t="s">
        <v>411</v>
      </c>
      <c r="R392" s="6" t="s">
        <v>412</v>
      </c>
      <c r="S392" s="6" t="s">
        <v>413</v>
      </c>
      <c r="T392" s="6" t="s">
        <v>1797</v>
      </c>
      <c r="U392" s="6" t="s">
        <v>35</v>
      </c>
      <c r="V392" s="6"/>
      <c r="W392" s="6"/>
      <c r="X392" s="6" t="s">
        <v>63</v>
      </c>
      <c r="Y392" s="6" t="s">
        <v>39</v>
      </c>
      <c r="Z392" s="6" t="s">
        <v>414</v>
      </c>
      <c r="AA392" s="6" t="s">
        <v>41</v>
      </c>
      <c r="AB392" s="7" t="s">
        <v>415</v>
      </c>
      <c r="AC392">
        <f>COUNTIF(Sheet1!$A$1:$A$50,Firms!A392)</f>
        <v>1</v>
      </c>
      <c r="AD392" t="str">
        <f>SUBSTITUTE(AB392,"Seeded from CapIQ export. Numeric fields are regex first-pass — c","C")</f>
        <v>Crawler will confirm. capiq_description preserved for AI extraction fallback. | [crawler] Explicit investment criteria page found.</v>
      </c>
    </row>
    <row r="393" spans="1:30" ht="15" hidden="1" customHeight="1" x14ac:dyDescent="0.45">
      <c r="A393" s="2" t="s">
        <v>1798</v>
      </c>
      <c r="B393" s="2" t="s">
        <v>29</v>
      </c>
      <c r="C393" s="2" t="s">
        <v>101</v>
      </c>
      <c r="D393" s="2" t="s">
        <v>1799</v>
      </c>
      <c r="E393" s="2" t="s">
        <v>1800</v>
      </c>
      <c r="F393" s="2" t="s">
        <v>81</v>
      </c>
      <c r="G393" s="2"/>
      <c r="H393" s="2"/>
      <c r="I393" s="2"/>
      <c r="J393" s="2"/>
      <c r="K393" s="2"/>
      <c r="L393" s="2"/>
      <c r="M393" s="2"/>
      <c r="N393" s="2"/>
      <c r="O393" s="2" t="s">
        <v>82</v>
      </c>
      <c r="P393" s="2" t="s">
        <v>544</v>
      </c>
      <c r="Q393" s="2"/>
      <c r="R393" s="2"/>
      <c r="S393" s="2"/>
      <c r="T393" s="2" t="s">
        <v>1801</v>
      </c>
      <c r="U393" s="2" t="s">
        <v>35</v>
      </c>
      <c r="V393" s="2" t="s">
        <v>1802</v>
      </c>
      <c r="W393" s="2"/>
      <c r="X393" s="2" t="s">
        <v>38</v>
      </c>
      <c r="Y393" s="2" t="s">
        <v>39</v>
      </c>
      <c r="Z393" s="2" t="s">
        <v>40</v>
      </c>
      <c r="AA393" s="2" t="s">
        <v>41</v>
      </c>
      <c r="AB393" s="3" t="s">
        <v>1803</v>
      </c>
      <c r="AC393">
        <f>COUNTIF(Sheet1!$A$1:$A$50,Firms!A393)</f>
        <v>0</v>
      </c>
    </row>
    <row r="394" spans="1:30" ht="15" hidden="1" customHeight="1" x14ac:dyDescent="0.45">
      <c r="A394" s="4" t="s">
        <v>1804</v>
      </c>
      <c r="B394" s="4" t="s">
        <v>29</v>
      </c>
      <c r="C394" s="4"/>
      <c r="D394" s="4"/>
      <c r="E394" s="4" t="s">
        <v>1805</v>
      </c>
      <c r="F394" s="4"/>
      <c r="G394" s="4"/>
      <c r="H394" s="4"/>
      <c r="I394" s="4"/>
      <c r="J394" s="4"/>
      <c r="K394" s="4"/>
      <c r="L394" s="4"/>
      <c r="M394" s="4"/>
      <c r="N394" s="4"/>
      <c r="O394" s="4"/>
      <c r="P394" s="4" t="s">
        <v>901</v>
      </c>
      <c r="Q394" s="4"/>
      <c r="R394" s="4"/>
      <c r="S394" s="4"/>
      <c r="T394" s="4" t="s">
        <v>1382</v>
      </c>
      <c r="U394" s="4" t="s">
        <v>35</v>
      </c>
      <c r="V394" s="4"/>
      <c r="W394" s="4"/>
      <c r="X394" s="4" t="s">
        <v>38</v>
      </c>
      <c r="Y394" s="4" t="s">
        <v>48</v>
      </c>
      <c r="Z394" s="4" t="s">
        <v>40</v>
      </c>
      <c r="AA394" s="4" t="s">
        <v>41</v>
      </c>
      <c r="AB394" s="5" t="s">
        <v>1806</v>
      </c>
      <c r="AC394">
        <f>COUNTIF(Sheet1!$A$1:$A$50,Firms!A394)</f>
        <v>0</v>
      </c>
    </row>
    <row r="395" spans="1:30" ht="15" hidden="1" customHeight="1" x14ac:dyDescent="0.45">
      <c r="A395" s="4" t="s">
        <v>1807</v>
      </c>
      <c r="B395" s="4" t="s">
        <v>44</v>
      </c>
      <c r="C395" s="4"/>
      <c r="D395" s="4"/>
      <c r="E395" s="4" t="s">
        <v>1808</v>
      </c>
      <c r="F395" s="4"/>
      <c r="G395" s="4"/>
      <c r="H395" s="4"/>
      <c r="I395" s="4"/>
      <c r="J395" s="4"/>
      <c r="K395" s="4"/>
      <c r="L395" s="4"/>
      <c r="M395" s="4"/>
      <c r="N395" s="4"/>
      <c r="O395" s="4"/>
      <c r="P395" s="4" t="s">
        <v>105</v>
      </c>
      <c r="Q395" s="4"/>
      <c r="R395" s="4"/>
      <c r="S395" s="4"/>
      <c r="T395" s="4" t="s">
        <v>1809</v>
      </c>
      <c r="U395" s="4" t="s">
        <v>35</v>
      </c>
      <c r="V395" s="4"/>
      <c r="W395" s="4"/>
      <c r="X395" s="4" t="s">
        <v>47</v>
      </c>
      <c r="Y395" s="4" t="s">
        <v>48</v>
      </c>
      <c r="Z395" s="4" t="s">
        <v>40</v>
      </c>
      <c r="AA395" s="4" t="s">
        <v>41</v>
      </c>
      <c r="AB395" s="5" t="s">
        <v>1810</v>
      </c>
      <c r="AC395">
        <f>COUNTIF(Sheet1!$A$1:$A$50,Firms!A395)</f>
        <v>0</v>
      </c>
    </row>
    <row r="396" spans="1:30" ht="15" hidden="1" customHeight="1" x14ac:dyDescent="0.45">
      <c r="A396" s="4" t="s">
        <v>1811</v>
      </c>
      <c r="B396" s="4" t="s">
        <v>44</v>
      </c>
      <c r="C396" s="4"/>
      <c r="D396" s="4"/>
      <c r="E396" s="4" t="s">
        <v>1812</v>
      </c>
      <c r="F396" s="4"/>
      <c r="G396" s="4"/>
      <c r="H396" s="4"/>
      <c r="I396" s="4"/>
      <c r="J396" s="4"/>
      <c r="K396" s="4"/>
      <c r="L396" s="4"/>
      <c r="M396" s="4"/>
      <c r="N396" s="4"/>
      <c r="O396" s="4"/>
      <c r="P396" s="4"/>
      <c r="Q396" s="4"/>
      <c r="R396" s="4"/>
      <c r="S396" s="4"/>
      <c r="T396" s="4"/>
      <c r="U396" s="4" t="s">
        <v>35</v>
      </c>
      <c r="V396" s="4"/>
      <c r="W396" s="4"/>
      <c r="X396" s="4" t="s">
        <v>47</v>
      </c>
      <c r="Y396" s="4" t="s">
        <v>48</v>
      </c>
      <c r="Z396" s="4" t="s">
        <v>40</v>
      </c>
      <c r="AA396" s="4" t="s">
        <v>41</v>
      </c>
      <c r="AB396" s="5" t="s">
        <v>1813</v>
      </c>
      <c r="AC396">
        <f>COUNTIF(Sheet1!$A$1:$A$50,Firms!A396)</f>
        <v>0</v>
      </c>
    </row>
    <row r="397" spans="1:30" ht="15" hidden="1" customHeight="1" x14ac:dyDescent="0.45">
      <c r="A397" s="8" t="s">
        <v>1814</v>
      </c>
      <c r="B397" s="8" t="s">
        <v>291</v>
      </c>
      <c r="C397" s="8"/>
      <c r="D397" s="8" t="s">
        <v>1633</v>
      </c>
      <c r="E397" s="8" t="s">
        <v>1815</v>
      </c>
      <c r="F397" s="8"/>
      <c r="G397" s="8"/>
      <c r="H397" s="8"/>
      <c r="I397" s="8"/>
      <c r="J397" s="8"/>
      <c r="K397" s="8"/>
      <c r="L397" s="8"/>
      <c r="M397" s="8"/>
      <c r="N397" s="8"/>
      <c r="O397" s="8"/>
      <c r="P397" s="8" t="s">
        <v>73</v>
      </c>
      <c r="Q397" s="8"/>
      <c r="R397" s="8"/>
      <c r="S397" s="8"/>
      <c r="T397" s="8" t="s">
        <v>1816</v>
      </c>
      <c r="U397" s="8" t="s">
        <v>35</v>
      </c>
      <c r="V397" s="8"/>
      <c r="W397" s="8"/>
      <c r="X397" s="8" t="s">
        <v>47</v>
      </c>
      <c r="Y397" s="8" t="s">
        <v>39</v>
      </c>
      <c r="Z397" s="8" t="s">
        <v>40</v>
      </c>
      <c r="AA397" s="8" t="s">
        <v>41</v>
      </c>
      <c r="AB397" s="9" t="s">
        <v>1817</v>
      </c>
      <c r="AC397">
        <f>COUNTIF(Sheet1!$A$1:$A$50,Firms!A397)</f>
        <v>0</v>
      </c>
    </row>
    <row r="398" spans="1:30" ht="15" hidden="1" customHeight="1" x14ac:dyDescent="0.45">
      <c r="A398" s="2" t="s">
        <v>1818</v>
      </c>
      <c r="B398" s="2" t="s">
        <v>29</v>
      </c>
      <c r="C398" s="2" t="s">
        <v>331</v>
      </c>
      <c r="D398" s="2" t="s">
        <v>332</v>
      </c>
      <c r="E398" s="2" t="s">
        <v>1819</v>
      </c>
      <c r="F398" s="2" t="s">
        <v>81</v>
      </c>
      <c r="G398" s="2"/>
      <c r="H398" s="2"/>
      <c r="I398" s="2" t="s">
        <v>697</v>
      </c>
      <c r="J398" s="2" t="s">
        <v>1535</v>
      </c>
      <c r="K398" s="2"/>
      <c r="L398" s="2"/>
      <c r="M398" s="2"/>
      <c r="N398" s="2"/>
      <c r="O398" s="2" t="s">
        <v>32</v>
      </c>
      <c r="P398" s="2" t="s">
        <v>410</v>
      </c>
      <c r="Q398" s="2"/>
      <c r="R398" s="2"/>
      <c r="S398" s="2"/>
      <c r="T398" s="2"/>
      <c r="U398" s="2" t="s">
        <v>35</v>
      </c>
      <c r="V398" s="2" t="s">
        <v>176</v>
      </c>
      <c r="W398" s="2"/>
      <c r="X398" s="2" t="s">
        <v>38</v>
      </c>
      <c r="Y398" s="2" t="s">
        <v>39</v>
      </c>
      <c r="Z398" s="2" t="s">
        <v>40</v>
      </c>
      <c r="AA398" s="2" t="s">
        <v>41</v>
      </c>
      <c r="AB398" s="3" t="s">
        <v>1820</v>
      </c>
      <c r="AC398">
        <f>COUNTIF(Sheet1!$A$1:$A$50,Firms!A398)</f>
        <v>0</v>
      </c>
    </row>
    <row r="399" spans="1:30" ht="15" hidden="1" customHeight="1" x14ac:dyDescent="0.45">
      <c r="A399" s="2" t="s">
        <v>1821</v>
      </c>
      <c r="B399" s="2" t="s">
        <v>402</v>
      </c>
      <c r="C399" s="2"/>
      <c r="D399" s="2"/>
      <c r="E399" s="2" t="s">
        <v>1822</v>
      </c>
      <c r="F399" s="2" t="s">
        <v>81</v>
      </c>
      <c r="G399" s="2"/>
      <c r="H399" s="2"/>
      <c r="I399" s="2"/>
      <c r="J399" s="2"/>
      <c r="K399" s="2"/>
      <c r="L399" s="2"/>
      <c r="M399" s="2"/>
      <c r="N399" s="2"/>
      <c r="O399" s="2" t="s">
        <v>1823</v>
      </c>
      <c r="P399" s="2" t="s">
        <v>1824</v>
      </c>
      <c r="Q399" s="2"/>
      <c r="R399" s="2"/>
      <c r="S399" s="2"/>
      <c r="T399" s="2"/>
      <c r="U399" s="2"/>
      <c r="V399" s="2"/>
      <c r="W399" s="2"/>
      <c r="X399" s="2" t="s">
        <v>38</v>
      </c>
      <c r="Y399" s="2" t="s">
        <v>39</v>
      </c>
      <c r="Z399" s="2" t="s">
        <v>40</v>
      </c>
      <c r="AA399" s="2" t="s">
        <v>41</v>
      </c>
      <c r="AB399" s="3" t="s">
        <v>1825</v>
      </c>
      <c r="AC399">
        <f>COUNTIF(Sheet1!$A$1:$A$50,Firms!A399)</f>
        <v>0</v>
      </c>
    </row>
    <row r="400" spans="1:30" ht="15" hidden="1" customHeight="1" x14ac:dyDescent="0.45">
      <c r="A400" s="4" t="s">
        <v>1826</v>
      </c>
      <c r="B400" s="4" t="s">
        <v>44</v>
      </c>
      <c r="C400" s="4"/>
      <c r="D400" s="4"/>
      <c r="E400" s="4" t="s">
        <v>1827</v>
      </c>
      <c r="F400" s="4"/>
      <c r="G400" s="4"/>
      <c r="H400" s="4"/>
      <c r="I400" s="4"/>
      <c r="J400" s="4"/>
      <c r="K400" s="4"/>
      <c r="L400" s="4"/>
      <c r="M400" s="4"/>
      <c r="N400" s="4"/>
      <c r="O400" s="4"/>
      <c r="P400" s="4" t="s">
        <v>269</v>
      </c>
      <c r="Q400" s="4"/>
      <c r="R400" s="4"/>
      <c r="S400" s="4"/>
      <c r="T400" s="4" t="s">
        <v>1828</v>
      </c>
      <c r="U400" s="4" t="s">
        <v>35</v>
      </c>
      <c r="V400" s="4"/>
      <c r="W400" s="4"/>
      <c r="X400" s="4" t="s">
        <v>47</v>
      </c>
      <c r="Y400" s="4" t="s">
        <v>48</v>
      </c>
      <c r="Z400" s="4" t="s">
        <v>40</v>
      </c>
      <c r="AA400" s="4" t="s">
        <v>41</v>
      </c>
      <c r="AB400" s="5" t="s">
        <v>1829</v>
      </c>
      <c r="AC400">
        <f>COUNTIF(Sheet1!$A$1:$A$50,Firms!A400)</f>
        <v>0</v>
      </c>
    </row>
    <row r="401" spans="1:30" ht="15" customHeight="1" x14ac:dyDescent="0.45">
      <c r="A401" s="4" t="s">
        <v>1830</v>
      </c>
      <c r="B401" s="4" t="s">
        <v>29</v>
      </c>
      <c r="C401" s="4"/>
      <c r="D401" s="4"/>
      <c r="E401" s="4" t="s">
        <v>1831</v>
      </c>
      <c r="F401" s="4"/>
      <c r="G401" s="4"/>
      <c r="H401" s="4"/>
      <c r="I401" s="4"/>
      <c r="J401" s="4"/>
      <c r="K401" s="4"/>
      <c r="L401" s="4"/>
      <c r="M401" s="4"/>
      <c r="N401" s="4"/>
      <c r="O401" s="4"/>
      <c r="P401" s="4" t="s">
        <v>309</v>
      </c>
      <c r="Q401" s="4"/>
      <c r="R401" s="4"/>
      <c r="S401" s="4"/>
      <c r="T401" s="4" t="s">
        <v>1832</v>
      </c>
      <c r="U401" s="4" t="s">
        <v>35</v>
      </c>
      <c r="V401" s="4"/>
      <c r="W401" s="4"/>
      <c r="X401" s="4" t="s">
        <v>47</v>
      </c>
      <c r="Y401" s="4" t="s">
        <v>48</v>
      </c>
      <c r="Z401" s="4" t="s">
        <v>40</v>
      </c>
      <c r="AA401" s="4" t="s">
        <v>41</v>
      </c>
      <c r="AB401" s="5" t="s">
        <v>1833</v>
      </c>
      <c r="AC401">
        <f>COUNTIF(Sheet1!$A$1:$A$50,Firms!A401)</f>
        <v>1</v>
      </c>
      <c r="AD401" t="str">
        <f>SUBSTITUTE(AB401,"Seeded from CapIQ export. Numeric fields are regex first-pass — c","C")</f>
        <v>Crawler will confirm. capiq_description preserved for AI extraction fallback. | [extractor] Source page is LP Connect login/terms portal with no investment criteria data. Only confirms Carlyle Group Inc. is a PE firm. No deal types, sectors, check sizes, fund details, or AUM disclosed. Headquarters location unconfirmed from this source. Additional research needed from main corporate website or investment materials.</v>
      </c>
    </row>
    <row r="402" spans="1:30" ht="15" hidden="1" customHeight="1" x14ac:dyDescent="0.45">
      <c r="A402" s="2" t="s">
        <v>1834</v>
      </c>
      <c r="B402" s="2" t="s">
        <v>291</v>
      </c>
      <c r="C402" s="2" t="s">
        <v>1615</v>
      </c>
      <c r="D402" s="2" t="s">
        <v>1616</v>
      </c>
      <c r="E402" s="2" t="s">
        <v>1835</v>
      </c>
      <c r="F402" s="2" t="s">
        <v>81</v>
      </c>
      <c r="G402" s="2"/>
      <c r="H402" s="2"/>
      <c r="I402" s="2"/>
      <c r="J402" s="2"/>
      <c r="K402" s="2"/>
      <c r="L402" s="2"/>
      <c r="M402" s="2"/>
      <c r="N402" s="2"/>
      <c r="O402" s="2" t="s">
        <v>32</v>
      </c>
      <c r="P402" s="2" t="s">
        <v>1836</v>
      </c>
      <c r="Q402" s="2"/>
      <c r="R402" s="2"/>
      <c r="S402" s="2"/>
      <c r="T402" s="2"/>
      <c r="U402" s="2" t="s">
        <v>35</v>
      </c>
      <c r="V402" s="2"/>
      <c r="W402" s="2"/>
      <c r="X402" s="2" t="s">
        <v>38</v>
      </c>
      <c r="Y402" s="2" t="s">
        <v>39</v>
      </c>
      <c r="Z402" s="2" t="s">
        <v>40</v>
      </c>
      <c r="AA402" s="2" t="s">
        <v>41</v>
      </c>
      <c r="AB402" s="3" t="s">
        <v>1837</v>
      </c>
      <c r="AC402">
        <f>COUNTIF(Sheet1!$A$1:$A$50,Firms!A402)</f>
        <v>0</v>
      </c>
    </row>
    <row r="403" spans="1:30" ht="15" hidden="1" customHeight="1" x14ac:dyDescent="0.45">
      <c r="A403" s="2" t="s">
        <v>1838</v>
      </c>
      <c r="B403" s="2" t="s">
        <v>29</v>
      </c>
      <c r="C403" s="2"/>
      <c r="D403" s="2"/>
      <c r="E403" s="2" t="s">
        <v>1839</v>
      </c>
      <c r="F403" s="2" t="s">
        <v>81</v>
      </c>
      <c r="G403" s="2"/>
      <c r="H403" s="2"/>
      <c r="I403" s="2"/>
      <c r="J403" s="2"/>
      <c r="K403" s="2"/>
      <c r="L403" s="2"/>
      <c r="M403" s="2"/>
      <c r="N403" s="2"/>
      <c r="O403" s="2" t="s">
        <v>32</v>
      </c>
      <c r="P403" s="2" t="s">
        <v>111</v>
      </c>
      <c r="Q403" s="2"/>
      <c r="R403" s="2"/>
      <c r="S403" s="2"/>
      <c r="T403" s="2"/>
      <c r="U403" s="2" t="s">
        <v>35</v>
      </c>
      <c r="V403" s="2"/>
      <c r="W403" s="2"/>
      <c r="X403" s="2" t="s">
        <v>38</v>
      </c>
      <c r="Y403" s="2" t="s">
        <v>39</v>
      </c>
      <c r="Z403" s="2" t="s">
        <v>40</v>
      </c>
      <c r="AA403" s="2" t="s">
        <v>41</v>
      </c>
      <c r="AB403" s="3" t="s">
        <v>1840</v>
      </c>
      <c r="AC403">
        <f>COUNTIF(Sheet1!$A$1:$A$50,Firms!A403)</f>
        <v>0</v>
      </c>
    </row>
    <row r="404" spans="1:30" ht="15" hidden="1" customHeight="1" x14ac:dyDescent="0.45">
      <c r="A404" s="2" t="s">
        <v>1841</v>
      </c>
      <c r="B404" s="2" t="s">
        <v>291</v>
      </c>
      <c r="C404" s="2" t="s">
        <v>1007</v>
      </c>
      <c r="D404" s="2"/>
      <c r="E404" s="2" t="s">
        <v>1842</v>
      </c>
      <c r="F404" s="2" t="s">
        <v>31</v>
      </c>
      <c r="G404" s="2"/>
      <c r="H404" s="2"/>
      <c r="I404" s="2"/>
      <c r="J404" s="2"/>
      <c r="K404" s="2"/>
      <c r="L404" s="2"/>
      <c r="M404" s="2"/>
      <c r="N404" s="2"/>
      <c r="O404" s="2" t="s">
        <v>32</v>
      </c>
      <c r="P404" s="2" t="s">
        <v>1843</v>
      </c>
      <c r="Q404" s="2"/>
      <c r="R404" s="2"/>
      <c r="S404" s="2"/>
      <c r="T404" s="2"/>
      <c r="U404" s="2" t="s">
        <v>35</v>
      </c>
      <c r="V404" s="2"/>
      <c r="W404" s="2"/>
      <c r="X404" s="2" t="s">
        <v>38</v>
      </c>
      <c r="Y404" s="2" t="s">
        <v>39</v>
      </c>
      <c r="Z404" s="2" t="s">
        <v>40</v>
      </c>
      <c r="AA404" s="2" t="s">
        <v>41</v>
      </c>
      <c r="AB404" s="3" t="s">
        <v>1844</v>
      </c>
      <c r="AC404">
        <f>COUNTIF(Sheet1!$A$1:$A$50,Firms!A404)</f>
        <v>0</v>
      </c>
    </row>
    <row r="405" spans="1:30" ht="15" hidden="1" customHeight="1" x14ac:dyDescent="0.45">
      <c r="A405" s="6" t="s">
        <v>1845</v>
      </c>
      <c r="B405" s="6" t="s">
        <v>29</v>
      </c>
      <c r="C405" s="6"/>
      <c r="D405" s="6"/>
      <c r="E405" s="6" t="s">
        <v>1846</v>
      </c>
      <c r="F405" s="6" t="s">
        <v>31</v>
      </c>
      <c r="G405" s="6" t="s">
        <v>56</v>
      </c>
      <c r="H405" s="6"/>
      <c r="I405" s="6"/>
      <c r="J405" s="6"/>
      <c r="K405" s="6" t="s">
        <v>469</v>
      </c>
      <c r="L405" s="6" t="s">
        <v>127</v>
      </c>
      <c r="M405" s="6"/>
      <c r="N405" s="6"/>
      <c r="O405" s="6" t="s">
        <v>193</v>
      </c>
      <c r="P405" s="6" t="s">
        <v>1349</v>
      </c>
      <c r="Q405" s="6"/>
      <c r="R405" s="6"/>
      <c r="S405" s="6"/>
      <c r="T405" s="6" t="s">
        <v>1847</v>
      </c>
      <c r="U405" s="6" t="s">
        <v>35</v>
      </c>
      <c r="V405" s="6"/>
      <c r="W405" s="6"/>
      <c r="X405" s="6" t="s">
        <v>63</v>
      </c>
      <c r="Y405" s="6" t="s">
        <v>39</v>
      </c>
      <c r="Z405" s="6" t="s">
        <v>40</v>
      </c>
      <c r="AA405" s="6" t="s">
        <v>41</v>
      </c>
      <c r="AB405" s="7" t="s">
        <v>1848</v>
      </c>
      <c r="AC405">
        <f>COUNTIF(Sheet1!$A$1:$A$50,Firms!A405)</f>
        <v>0</v>
      </c>
    </row>
    <row r="406" spans="1:30" ht="15" hidden="1" customHeight="1" x14ac:dyDescent="0.45">
      <c r="A406" s="4" t="s">
        <v>1849</v>
      </c>
      <c r="B406" s="4" t="s">
        <v>44</v>
      </c>
      <c r="C406" s="4"/>
      <c r="D406" s="4"/>
      <c r="E406" s="4" t="s">
        <v>1850</v>
      </c>
      <c r="F406" s="4"/>
      <c r="G406" s="4"/>
      <c r="H406" s="4"/>
      <c r="I406" s="4"/>
      <c r="J406" s="4"/>
      <c r="K406" s="4"/>
      <c r="L406" s="4"/>
      <c r="M406" s="4"/>
      <c r="N406" s="4"/>
      <c r="O406" s="4"/>
      <c r="P406" s="4" t="s">
        <v>424</v>
      </c>
      <c r="Q406" s="4"/>
      <c r="R406" s="4"/>
      <c r="S406" s="4"/>
      <c r="T406" s="4" t="s">
        <v>1851</v>
      </c>
      <c r="U406" s="4" t="s">
        <v>35</v>
      </c>
      <c r="V406" s="4"/>
      <c r="W406" s="4"/>
      <c r="X406" s="4" t="s">
        <v>47</v>
      </c>
      <c r="Y406" s="4" t="s">
        <v>48</v>
      </c>
      <c r="Z406" s="4" t="s">
        <v>40</v>
      </c>
      <c r="AA406" s="4" t="s">
        <v>41</v>
      </c>
      <c r="AB406" s="5" t="s">
        <v>1852</v>
      </c>
      <c r="AC406">
        <f>COUNTIF(Sheet1!$A$1:$A$50,Firms!A406)</f>
        <v>0</v>
      </c>
    </row>
    <row r="407" spans="1:30" ht="15" hidden="1" customHeight="1" x14ac:dyDescent="0.45">
      <c r="A407" s="2" t="s">
        <v>1853</v>
      </c>
      <c r="B407" s="2" t="s">
        <v>29</v>
      </c>
      <c r="C407" s="2"/>
      <c r="D407" s="2"/>
      <c r="E407" s="2" t="s">
        <v>1854</v>
      </c>
      <c r="F407" s="2" t="s">
        <v>81</v>
      </c>
      <c r="G407" s="2"/>
      <c r="H407" s="2"/>
      <c r="I407" s="2"/>
      <c r="J407" s="2"/>
      <c r="K407" s="2"/>
      <c r="L407" s="2"/>
      <c r="M407" s="2"/>
      <c r="N407" s="2"/>
      <c r="O407" s="2" t="s">
        <v>32</v>
      </c>
      <c r="P407" s="2" t="s">
        <v>1855</v>
      </c>
      <c r="Q407" s="2"/>
      <c r="R407" s="2"/>
      <c r="S407" s="2"/>
      <c r="T407" s="2"/>
      <c r="U407" s="2" t="s">
        <v>35</v>
      </c>
      <c r="V407" s="2" t="s">
        <v>1856</v>
      </c>
      <c r="W407" s="2"/>
      <c r="X407" s="2" t="s">
        <v>38</v>
      </c>
      <c r="Y407" s="2" t="s">
        <v>39</v>
      </c>
      <c r="Z407" s="2" t="s">
        <v>40</v>
      </c>
      <c r="AA407" s="2" t="s">
        <v>41</v>
      </c>
      <c r="AB407" s="3" t="s">
        <v>1857</v>
      </c>
      <c r="AC407">
        <f>COUNTIF(Sheet1!$A$1:$A$50,Firms!A407)</f>
        <v>0</v>
      </c>
    </row>
    <row r="408" spans="1:30" ht="15" hidden="1" customHeight="1" x14ac:dyDescent="0.45">
      <c r="A408" s="6" t="s">
        <v>1858</v>
      </c>
      <c r="B408" s="6" t="s">
        <v>29</v>
      </c>
      <c r="C408" s="6" t="s">
        <v>331</v>
      </c>
      <c r="D408" s="6" t="s">
        <v>332</v>
      </c>
      <c r="E408" s="6" t="s">
        <v>1859</v>
      </c>
      <c r="F408" s="6" t="s">
        <v>31</v>
      </c>
      <c r="G408" s="6" t="s">
        <v>125</v>
      </c>
      <c r="H408" s="6" t="s">
        <v>110</v>
      </c>
      <c r="I408" s="6"/>
      <c r="J408" s="6"/>
      <c r="K408" s="6"/>
      <c r="L408" s="6"/>
      <c r="M408" s="6" t="s">
        <v>135</v>
      </c>
      <c r="N408" s="6" t="s">
        <v>58</v>
      </c>
      <c r="O408" s="6" t="s">
        <v>1860</v>
      </c>
      <c r="P408" s="6" t="s">
        <v>105</v>
      </c>
      <c r="Q408" s="6"/>
      <c r="R408" s="6"/>
      <c r="S408" s="6"/>
      <c r="T408" s="6"/>
      <c r="U408" s="6" t="s">
        <v>35</v>
      </c>
      <c r="V408" s="6" t="s">
        <v>1861</v>
      </c>
      <c r="W408" s="6"/>
      <c r="X408" s="6" t="s">
        <v>63</v>
      </c>
      <c r="Y408" s="6" t="s">
        <v>39</v>
      </c>
      <c r="Z408" s="6" t="s">
        <v>40</v>
      </c>
      <c r="AA408" s="6" t="s">
        <v>41</v>
      </c>
      <c r="AB408" s="7" t="s">
        <v>1862</v>
      </c>
      <c r="AC408">
        <f>COUNTIF(Sheet1!$A$1:$A$50,Firms!A408)</f>
        <v>0</v>
      </c>
    </row>
    <row r="409" spans="1:30" ht="15" hidden="1" customHeight="1" x14ac:dyDescent="0.45">
      <c r="A409" s="6" t="s">
        <v>1863</v>
      </c>
      <c r="B409" s="6" t="s">
        <v>29</v>
      </c>
      <c r="C409" s="6"/>
      <c r="D409" s="6"/>
      <c r="E409" s="6" t="s">
        <v>1864</v>
      </c>
      <c r="F409" s="6" t="s">
        <v>31</v>
      </c>
      <c r="G409" s="6"/>
      <c r="H409" s="6"/>
      <c r="I409" s="6" t="s">
        <v>135</v>
      </c>
      <c r="J409" s="6" t="s">
        <v>192</v>
      </c>
      <c r="K409" s="6"/>
      <c r="L409" s="6"/>
      <c r="M409" s="6"/>
      <c r="N409" s="6"/>
      <c r="O409" s="6" t="s">
        <v>60</v>
      </c>
      <c r="P409" s="6" t="s">
        <v>1865</v>
      </c>
      <c r="Q409" s="6"/>
      <c r="R409" s="6"/>
      <c r="S409" s="6"/>
      <c r="T409" s="6"/>
      <c r="U409" s="6" t="s">
        <v>35</v>
      </c>
      <c r="V409" s="6"/>
      <c r="W409" s="6"/>
      <c r="X409" s="6" t="s">
        <v>63</v>
      </c>
      <c r="Y409" s="6" t="s">
        <v>39</v>
      </c>
      <c r="Z409" s="6" t="s">
        <v>40</v>
      </c>
      <c r="AA409" s="6" t="s">
        <v>41</v>
      </c>
      <c r="AB409" s="7" t="s">
        <v>1866</v>
      </c>
      <c r="AC409">
        <f>COUNTIF(Sheet1!$A$1:$A$50,Firms!A409)</f>
        <v>0</v>
      </c>
    </row>
    <row r="410" spans="1:30" ht="15" customHeight="1" x14ac:dyDescent="0.45">
      <c r="A410" s="2" t="s">
        <v>1867</v>
      </c>
      <c r="B410" s="2" t="s">
        <v>29</v>
      </c>
      <c r="C410" s="2"/>
      <c r="D410" s="2"/>
      <c r="E410" s="2" t="s">
        <v>1868</v>
      </c>
      <c r="F410" s="2" t="s">
        <v>81</v>
      </c>
      <c r="G410" s="2"/>
      <c r="H410" s="2"/>
      <c r="I410" s="2"/>
      <c r="J410" s="2"/>
      <c r="K410" s="2"/>
      <c r="L410" s="2"/>
      <c r="M410" s="2"/>
      <c r="N410" s="2"/>
      <c r="O410" s="2" t="s">
        <v>32</v>
      </c>
      <c r="P410" s="2" t="s">
        <v>105</v>
      </c>
      <c r="Q410" s="2"/>
      <c r="R410" s="2"/>
      <c r="S410" s="2"/>
      <c r="T410" s="2" t="s">
        <v>1869</v>
      </c>
      <c r="U410" s="2" t="s">
        <v>35</v>
      </c>
      <c r="V410" s="2"/>
      <c r="W410" s="2"/>
      <c r="X410" s="2" t="s">
        <v>38</v>
      </c>
      <c r="Y410" s="2" t="s">
        <v>39</v>
      </c>
      <c r="Z410" s="2" t="s">
        <v>40</v>
      </c>
      <c r="AA410" s="2" t="s">
        <v>41</v>
      </c>
      <c r="AB410" s="3" t="s">
        <v>1870</v>
      </c>
      <c r="AC410">
        <f>COUNTIF(Sheet1!$A$1:$A$50,Firms!A410)</f>
        <v>1</v>
      </c>
      <c r="AD410" t="str">
        <f>SUBSTITUTE(AB410,"Seeded from CapIQ export. Numeric fields are regex first-pass — c","C")</f>
        <v>Crawler will confirm. capiq_description preserved for AI extraction fallback. | [extractor] Portfolio page shows extensive software/tech investments across Applications, Cybersecurity, and Infrastructure sectors. Firm describes collaborative buyout approach with focus on product innovation and operational excellence. HQ location and specific fund details not available on this page. Multiple portfolio companies across US and international locations confirmed.</v>
      </c>
    </row>
    <row r="411" spans="1:30" ht="15" hidden="1" customHeight="1" x14ac:dyDescent="0.45">
      <c r="A411" s="4" t="s">
        <v>1871</v>
      </c>
      <c r="B411" s="4" t="s">
        <v>29</v>
      </c>
      <c r="C411" s="4"/>
      <c r="D411" s="4"/>
      <c r="E411" s="4" t="s">
        <v>1872</v>
      </c>
      <c r="F411" s="4"/>
      <c r="G411" s="4"/>
      <c r="H411" s="4"/>
      <c r="I411" s="4"/>
      <c r="J411" s="4"/>
      <c r="K411" s="4"/>
      <c r="L411" s="4"/>
      <c r="M411" s="4"/>
      <c r="N411" s="4"/>
      <c r="O411" s="4"/>
      <c r="P411" s="4" t="s">
        <v>1205</v>
      </c>
      <c r="Q411" s="4"/>
      <c r="R411" s="4"/>
      <c r="S411" s="4"/>
      <c r="T411" s="4" t="s">
        <v>1873</v>
      </c>
      <c r="U411" s="4" t="s">
        <v>35</v>
      </c>
      <c r="V411" s="4"/>
      <c r="W411" s="4"/>
      <c r="X411" s="4" t="s">
        <v>47</v>
      </c>
      <c r="Y411" s="4" t="s">
        <v>48</v>
      </c>
      <c r="Z411" s="4" t="s">
        <v>40</v>
      </c>
      <c r="AA411" s="4" t="s">
        <v>41</v>
      </c>
      <c r="AB411" s="5" t="s">
        <v>1874</v>
      </c>
      <c r="AC411">
        <f>COUNTIF(Sheet1!$A$1:$A$50,Firms!A411)</f>
        <v>0</v>
      </c>
    </row>
    <row r="412" spans="1:30" ht="15" hidden="1" customHeight="1" x14ac:dyDescent="0.45">
      <c r="A412" s="4" t="s">
        <v>1875</v>
      </c>
      <c r="B412" s="4" t="s">
        <v>29</v>
      </c>
      <c r="C412" s="4"/>
      <c r="D412" s="4"/>
      <c r="E412" s="4" t="s">
        <v>1876</v>
      </c>
      <c r="F412" s="4"/>
      <c r="G412" s="4"/>
      <c r="H412" s="4"/>
      <c r="I412" s="4"/>
      <c r="J412" s="4"/>
      <c r="K412" s="4"/>
      <c r="L412" s="4"/>
      <c r="M412" s="4"/>
      <c r="N412" s="4"/>
      <c r="O412" s="4"/>
      <c r="P412" s="4" t="s">
        <v>116</v>
      </c>
      <c r="Q412" s="4"/>
      <c r="R412" s="4"/>
      <c r="S412" s="4"/>
      <c r="T412" s="4"/>
      <c r="U412" s="4" t="s">
        <v>35</v>
      </c>
      <c r="V412" s="4"/>
      <c r="W412" s="4"/>
      <c r="X412" s="4" t="s">
        <v>47</v>
      </c>
      <c r="Y412" s="4" t="s">
        <v>48</v>
      </c>
      <c r="Z412" s="4" t="s">
        <v>40</v>
      </c>
      <c r="AA412" s="4" t="s">
        <v>41</v>
      </c>
      <c r="AB412" s="5" t="s">
        <v>1877</v>
      </c>
      <c r="AC412">
        <f>COUNTIF(Sheet1!$A$1:$A$50,Firms!A412)</f>
        <v>0</v>
      </c>
    </row>
    <row r="413" spans="1:30" ht="15" hidden="1" customHeight="1" x14ac:dyDescent="0.45">
      <c r="A413" s="4" t="s">
        <v>1878</v>
      </c>
      <c r="B413" s="4" t="s">
        <v>402</v>
      </c>
      <c r="C413" s="4"/>
      <c r="D413" s="4"/>
      <c r="E413" s="4" t="s">
        <v>1879</v>
      </c>
      <c r="F413" s="4"/>
      <c r="G413" s="4"/>
      <c r="H413" s="4"/>
      <c r="I413" s="4"/>
      <c r="J413" s="4"/>
      <c r="K413" s="4"/>
      <c r="L413" s="4"/>
      <c r="M413" s="4"/>
      <c r="N413" s="4"/>
      <c r="O413" s="4" t="s">
        <v>406</v>
      </c>
      <c r="P413" s="4" t="s">
        <v>105</v>
      </c>
      <c r="Q413" s="4"/>
      <c r="R413" s="4"/>
      <c r="S413" s="4"/>
      <c r="T413" s="4"/>
      <c r="U413" s="4" t="s">
        <v>35</v>
      </c>
      <c r="V413" s="4"/>
      <c r="W413" s="4"/>
      <c r="X413" s="4" t="s">
        <v>38</v>
      </c>
      <c r="Y413" s="4" t="s">
        <v>48</v>
      </c>
      <c r="Z413" s="4" t="s">
        <v>40</v>
      </c>
      <c r="AA413" s="4" t="s">
        <v>41</v>
      </c>
      <c r="AB413" s="5" t="s">
        <v>1880</v>
      </c>
      <c r="AC413">
        <f>COUNTIF(Sheet1!$A$1:$A$50,Firms!A413)</f>
        <v>0</v>
      </c>
    </row>
    <row r="414" spans="1:30" ht="15" hidden="1" customHeight="1" x14ac:dyDescent="0.45">
      <c r="A414" s="6" t="s">
        <v>1881</v>
      </c>
      <c r="B414" s="6" t="s">
        <v>29</v>
      </c>
      <c r="C414" s="6" t="s">
        <v>694</v>
      </c>
      <c r="D414" s="6" t="s">
        <v>695</v>
      </c>
      <c r="E414" s="6" t="s">
        <v>1882</v>
      </c>
      <c r="F414" s="6" t="s">
        <v>31</v>
      </c>
      <c r="G414" s="6" t="s">
        <v>192</v>
      </c>
      <c r="H414" s="6" t="s">
        <v>55</v>
      </c>
      <c r="I414" s="6" t="s">
        <v>469</v>
      </c>
      <c r="J414" s="6" t="s">
        <v>192</v>
      </c>
      <c r="K414" s="6"/>
      <c r="L414" s="6"/>
      <c r="M414" s="6"/>
      <c r="N414" s="6"/>
      <c r="O414" s="6" t="s">
        <v>1883</v>
      </c>
      <c r="P414" s="6" t="s">
        <v>1504</v>
      </c>
      <c r="Q414" s="6"/>
      <c r="R414" s="6"/>
      <c r="S414" s="6"/>
      <c r="T414" s="6" t="s">
        <v>572</v>
      </c>
      <c r="U414" s="6" t="s">
        <v>35</v>
      </c>
      <c r="V414" s="6" t="s">
        <v>1565</v>
      </c>
      <c r="W414" s="6"/>
      <c r="X414" s="6" t="s">
        <v>63</v>
      </c>
      <c r="Y414" s="6" t="s">
        <v>39</v>
      </c>
      <c r="Z414" s="6" t="s">
        <v>40</v>
      </c>
      <c r="AA414" s="6" t="s">
        <v>41</v>
      </c>
      <c r="AB414" s="7" t="s">
        <v>1884</v>
      </c>
      <c r="AC414">
        <f>COUNTIF(Sheet1!$A$1:$A$50,Firms!A414)</f>
        <v>0</v>
      </c>
    </row>
    <row r="415" spans="1:30" ht="15" hidden="1" customHeight="1" x14ac:dyDescent="0.45">
      <c r="A415" s="6" t="s">
        <v>1885</v>
      </c>
      <c r="B415" s="6" t="s">
        <v>29</v>
      </c>
      <c r="C415" s="6" t="s">
        <v>101</v>
      </c>
      <c r="D415" s="6" t="s">
        <v>1886</v>
      </c>
      <c r="E415" s="6" t="s">
        <v>1887</v>
      </c>
      <c r="F415" s="6" t="s">
        <v>81</v>
      </c>
      <c r="G415" s="6"/>
      <c r="H415" s="6"/>
      <c r="I415" s="6"/>
      <c r="J415" s="6" t="s">
        <v>137</v>
      </c>
      <c r="K415" s="6"/>
      <c r="L415" s="6"/>
      <c r="M415" s="6"/>
      <c r="N415" s="6" t="s">
        <v>137</v>
      </c>
      <c r="O415" s="6" t="s">
        <v>32</v>
      </c>
      <c r="P415" s="6" t="s">
        <v>111</v>
      </c>
      <c r="Q415" s="6"/>
      <c r="R415" s="6"/>
      <c r="S415" s="6"/>
      <c r="T415" s="6"/>
      <c r="U415" s="6" t="s">
        <v>35</v>
      </c>
      <c r="V415" s="6"/>
      <c r="W415" s="6"/>
      <c r="X415" s="6" t="s">
        <v>63</v>
      </c>
      <c r="Y415" s="6" t="s">
        <v>39</v>
      </c>
      <c r="Z415" s="6" t="s">
        <v>40</v>
      </c>
      <c r="AA415" s="6" t="s">
        <v>41</v>
      </c>
      <c r="AB415" s="7" t="s">
        <v>1888</v>
      </c>
      <c r="AC415">
        <f>COUNTIF(Sheet1!$A$1:$A$50,Firms!A415)</f>
        <v>0</v>
      </c>
    </row>
    <row r="416" spans="1:30" ht="15" hidden="1" customHeight="1" x14ac:dyDescent="0.45">
      <c r="A416" s="2" t="s">
        <v>1889</v>
      </c>
      <c r="B416" s="2" t="s">
        <v>29</v>
      </c>
      <c r="C416" s="2" t="s">
        <v>272</v>
      </c>
      <c r="D416" s="2" t="s">
        <v>273</v>
      </c>
      <c r="E416" s="2" t="s">
        <v>1890</v>
      </c>
      <c r="F416" s="2" t="s">
        <v>31</v>
      </c>
      <c r="G416" s="2"/>
      <c r="H416" s="2"/>
      <c r="I416" s="2"/>
      <c r="J416" s="2"/>
      <c r="K416" s="2"/>
      <c r="L416" s="2"/>
      <c r="M416" s="2"/>
      <c r="N416" s="2"/>
      <c r="O416" s="2" t="s">
        <v>193</v>
      </c>
      <c r="P416" s="2" t="s">
        <v>705</v>
      </c>
      <c r="Q416" s="2"/>
      <c r="R416" s="2"/>
      <c r="S416" s="2"/>
      <c r="T416" s="2" t="s">
        <v>1891</v>
      </c>
      <c r="U416" s="2" t="s">
        <v>35</v>
      </c>
      <c r="V416" s="2"/>
      <c r="W416" s="2"/>
      <c r="X416" s="2" t="s">
        <v>38</v>
      </c>
      <c r="Y416" s="2" t="s">
        <v>39</v>
      </c>
      <c r="Z416" s="2" t="s">
        <v>441</v>
      </c>
      <c r="AA416" s="2" t="s">
        <v>41</v>
      </c>
      <c r="AB416" s="3" t="s">
        <v>1892</v>
      </c>
      <c r="AC416">
        <f>COUNTIF(Sheet1!$A$1:$A$50,Firms!A416)</f>
        <v>0</v>
      </c>
    </row>
    <row r="417" spans="1:30" ht="15" hidden="1" customHeight="1" x14ac:dyDescent="0.45">
      <c r="A417" s="2" t="s">
        <v>1893</v>
      </c>
      <c r="B417" s="2" t="s">
        <v>29</v>
      </c>
      <c r="C417" s="2"/>
      <c r="D417" s="2"/>
      <c r="E417" s="2" t="s">
        <v>1894</v>
      </c>
      <c r="F417" s="2"/>
      <c r="G417" s="2"/>
      <c r="H417" s="2"/>
      <c r="I417" s="2"/>
      <c r="J417" s="2"/>
      <c r="K417" s="2"/>
      <c r="L417" s="2"/>
      <c r="M417" s="2"/>
      <c r="N417" s="2"/>
      <c r="O417" s="2" t="s">
        <v>72</v>
      </c>
      <c r="P417" s="2" t="s">
        <v>88</v>
      </c>
      <c r="Q417" s="2"/>
      <c r="R417" s="2"/>
      <c r="S417" s="2"/>
      <c r="T417" s="2" t="s">
        <v>98</v>
      </c>
      <c r="U417" s="2" t="s">
        <v>35</v>
      </c>
      <c r="V417" s="2" t="s">
        <v>75</v>
      </c>
      <c r="W417" s="2"/>
      <c r="X417" s="2" t="s">
        <v>38</v>
      </c>
      <c r="Y417" s="2" t="s">
        <v>39</v>
      </c>
      <c r="Z417" s="2" t="s">
        <v>40</v>
      </c>
      <c r="AA417" s="2" t="s">
        <v>41</v>
      </c>
      <c r="AB417" s="3" t="s">
        <v>1895</v>
      </c>
      <c r="AC417">
        <f>COUNTIF(Sheet1!$A$1:$A$50,Firms!A417)</f>
        <v>0</v>
      </c>
    </row>
    <row r="418" spans="1:30" ht="15" hidden="1" customHeight="1" x14ac:dyDescent="0.45">
      <c r="A418" s="6" t="s">
        <v>1896</v>
      </c>
      <c r="B418" s="6" t="s">
        <v>29</v>
      </c>
      <c r="C418" s="6"/>
      <c r="D418" s="6"/>
      <c r="E418" s="6" t="s">
        <v>1897</v>
      </c>
      <c r="F418" s="6" t="s">
        <v>81</v>
      </c>
      <c r="G418" s="6"/>
      <c r="H418" s="6"/>
      <c r="I418" s="6"/>
      <c r="J418" s="6" t="s">
        <v>564</v>
      </c>
      <c r="K418" s="6"/>
      <c r="L418" s="6"/>
      <c r="M418" s="6"/>
      <c r="N418" s="6" t="s">
        <v>55</v>
      </c>
      <c r="O418" s="6" t="s">
        <v>32</v>
      </c>
      <c r="P418" s="6" t="s">
        <v>111</v>
      </c>
      <c r="Q418" s="6"/>
      <c r="R418" s="6"/>
      <c r="S418" s="6"/>
      <c r="T418" s="6"/>
      <c r="U418" s="6" t="s">
        <v>35</v>
      </c>
      <c r="V418" s="6"/>
      <c r="W418" s="6"/>
      <c r="X418" s="6" t="s">
        <v>63</v>
      </c>
      <c r="Y418" s="6" t="s">
        <v>39</v>
      </c>
      <c r="Z418" s="6" t="s">
        <v>40</v>
      </c>
      <c r="AA418" s="6" t="s">
        <v>41</v>
      </c>
      <c r="AB418" s="7" t="s">
        <v>1898</v>
      </c>
      <c r="AC418">
        <f>COUNTIF(Sheet1!$A$1:$A$50,Firms!A418)</f>
        <v>0</v>
      </c>
    </row>
    <row r="419" spans="1:30" ht="15" hidden="1" customHeight="1" x14ac:dyDescent="0.45">
      <c r="A419" s="6" t="s">
        <v>1899</v>
      </c>
      <c r="B419" s="6" t="s">
        <v>29</v>
      </c>
      <c r="C419" s="6" t="s">
        <v>1679</v>
      </c>
      <c r="D419" s="6" t="s">
        <v>1900</v>
      </c>
      <c r="E419" s="6" t="s">
        <v>1901</v>
      </c>
      <c r="F419" s="6" t="s">
        <v>31</v>
      </c>
      <c r="G419" s="6"/>
      <c r="H419" s="6"/>
      <c r="I419" s="6" t="s">
        <v>69</v>
      </c>
      <c r="J419" s="6" t="s">
        <v>110</v>
      </c>
      <c r="K419" s="6"/>
      <c r="L419" s="6"/>
      <c r="M419" s="6" t="s">
        <v>110</v>
      </c>
      <c r="N419" s="6" t="s">
        <v>56</v>
      </c>
      <c r="O419" s="6" t="s">
        <v>72</v>
      </c>
      <c r="P419" s="6" t="s">
        <v>1504</v>
      </c>
      <c r="Q419" s="6"/>
      <c r="R419" s="6"/>
      <c r="S419" s="6"/>
      <c r="T419" s="6" t="s">
        <v>1902</v>
      </c>
      <c r="U419" s="6" t="s">
        <v>35</v>
      </c>
      <c r="V419" s="6"/>
      <c r="W419" s="6"/>
      <c r="X419" s="6" t="s">
        <v>63</v>
      </c>
      <c r="Y419" s="6" t="s">
        <v>39</v>
      </c>
      <c r="Z419" s="6" t="s">
        <v>40</v>
      </c>
      <c r="AA419" s="6" t="s">
        <v>41</v>
      </c>
      <c r="AB419" s="7" t="s">
        <v>1903</v>
      </c>
      <c r="AC419">
        <f>COUNTIF(Sheet1!$A$1:$A$50,Firms!A419)</f>
        <v>0</v>
      </c>
    </row>
    <row r="420" spans="1:30" ht="15" hidden="1" customHeight="1" x14ac:dyDescent="0.45">
      <c r="A420" s="2" t="s">
        <v>1904</v>
      </c>
      <c r="B420" s="2" t="s">
        <v>29</v>
      </c>
      <c r="C420" s="2" t="s">
        <v>331</v>
      </c>
      <c r="D420" s="2" t="s">
        <v>332</v>
      </c>
      <c r="E420" s="2" t="s">
        <v>1905</v>
      </c>
      <c r="F420" s="2" t="s">
        <v>81</v>
      </c>
      <c r="G420" s="2"/>
      <c r="H420" s="2"/>
      <c r="I420" s="2"/>
      <c r="J420" s="2"/>
      <c r="K420" s="2"/>
      <c r="L420" s="2"/>
      <c r="M420" s="2"/>
      <c r="N420" s="2"/>
      <c r="O420" s="2" t="s">
        <v>32</v>
      </c>
      <c r="P420" s="2" t="s">
        <v>653</v>
      </c>
      <c r="Q420" s="2"/>
      <c r="R420" s="2"/>
      <c r="S420" s="2"/>
      <c r="T420" s="2" t="s">
        <v>1906</v>
      </c>
      <c r="U420" s="2"/>
      <c r="V420" s="2"/>
      <c r="W420" s="2"/>
      <c r="X420" s="2" t="s">
        <v>38</v>
      </c>
      <c r="Y420" s="2" t="s">
        <v>39</v>
      </c>
      <c r="Z420" s="2" t="s">
        <v>40</v>
      </c>
      <c r="AA420" s="2" t="s">
        <v>41</v>
      </c>
      <c r="AB420" s="3" t="s">
        <v>1907</v>
      </c>
      <c r="AC420">
        <f>COUNTIF(Sheet1!$A$1:$A$50,Firms!A420)</f>
        <v>0</v>
      </c>
    </row>
    <row r="421" spans="1:30" ht="15" hidden="1" customHeight="1" x14ac:dyDescent="0.45">
      <c r="A421" s="4" t="s">
        <v>1908</v>
      </c>
      <c r="B421" s="4" t="s">
        <v>44</v>
      </c>
      <c r="C421" s="4"/>
      <c r="D421" s="4"/>
      <c r="E421" s="4" t="s">
        <v>1909</v>
      </c>
      <c r="F421" s="4"/>
      <c r="G421" s="4"/>
      <c r="H421" s="4"/>
      <c r="I421" s="4"/>
      <c r="J421" s="4"/>
      <c r="K421" s="4"/>
      <c r="L421" s="4"/>
      <c r="M421" s="4"/>
      <c r="N421" s="4"/>
      <c r="O421" s="4"/>
      <c r="P421" s="4" t="s">
        <v>479</v>
      </c>
      <c r="Q421" s="4"/>
      <c r="R421" s="4"/>
      <c r="S421" s="4"/>
      <c r="T421" s="4"/>
      <c r="U421" s="4" t="s">
        <v>35</v>
      </c>
      <c r="V421" s="4"/>
      <c r="W421" s="4"/>
      <c r="X421" s="4" t="s">
        <v>47</v>
      </c>
      <c r="Y421" s="4" t="s">
        <v>48</v>
      </c>
      <c r="Z421" s="4" t="s">
        <v>40</v>
      </c>
      <c r="AA421" s="4" t="s">
        <v>41</v>
      </c>
      <c r="AB421" s="5" t="s">
        <v>1910</v>
      </c>
      <c r="AC421">
        <f>COUNTIF(Sheet1!$A$1:$A$50,Firms!A421)</f>
        <v>0</v>
      </c>
    </row>
    <row r="422" spans="1:30" ht="15" hidden="1" customHeight="1" x14ac:dyDescent="0.45">
      <c r="A422" s="2" t="s">
        <v>1911</v>
      </c>
      <c r="B422" s="2" t="s">
        <v>44</v>
      </c>
      <c r="C422" s="2" t="s">
        <v>1338</v>
      </c>
      <c r="D422" s="2" t="s">
        <v>1912</v>
      </c>
      <c r="E422" s="2" t="s">
        <v>1913</v>
      </c>
      <c r="F422" s="2" t="s">
        <v>81</v>
      </c>
      <c r="G422" s="2"/>
      <c r="H422" s="2"/>
      <c r="I422" s="2"/>
      <c r="J422" s="2"/>
      <c r="K422" s="2"/>
      <c r="L422" s="2"/>
      <c r="M422" s="2"/>
      <c r="N422" s="2"/>
      <c r="O422" s="2"/>
      <c r="P422" s="2" t="s">
        <v>1349</v>
      </c>
      <c r="Q422" s="2"/>
      <c r="R422" s="2"/>
      <c r="S422" s="2"/>
      <c r="T422" s="2" t="s">
        <v>304</v>
      </c>
      <c r="U422" s="2" t="s">
        <v>35</v>
      </c>
      <c r="V422" s="2"/>
      <c r="W422" s="2"/>
      <c r="X422" s="2" t="s">
        <v>38</v>
      </c>
      <c r="Y422" s="2" t="s">
        <v>39</v>
      </c>
      <c r="Z422" s="2" t="s">
        <v>40</v>
      </c>
      <c r="AA422" s="2" t="s">
        <v>41</v>
      </c>
      <c r="AB422" s="3" t="s">
        <v>1914</v>
      </c>
      <c r="AC422">
        <f>COUNTIF(Sheet1!$A$1:$A$50,Firms!A422)</f>
        <v>0</v>
      </c>
    </row>
    <row r="423" spans="1:30" ht="15" hidden="1" customHeight="1" x14ac:dyDescent="0.45">
      <c r="A423" s="6" t="s">
        <v>1915</v>
      </c>
      <c r="B423" s="6" t="s">
        <v>29</v>
      </c>
      <c r="C423" s="6" t="s">
        <v>132</v>
      </c>
      <c r="D423" s="6" t="s">
        <v>133</v>
      </c>
      <c r="E423" s="6" t="s">
        <v>1916</v>
      </c>
      <c r="F423" s="6" t="s">
        <v>81</v>
      </c>
      <c r="G423" s="6" t="s">
        <v>192</v>
      </c>
      <c r="H423" s="6"/>
      <c r="I423" s="6" t="s">
        <v>125</v>
      </c>
      <c r="J423" s="6"/>
      <c r="K423" s="6" t="s">
        <v>54</v>
      </c>
      <c r="L423" s="6" t="s">
        <v>1145</v>
      </c>
      <c r="M423" s="6"/>
      <c r="N423" s="6"/>
      <c r="O423" s="6" t="s">
        <v>72</v>
      </c>
      <c r="P423" s="6" t="s">
        <v>1341</v>
      </c>
      <c r="Q423" s="6"/>
      <c r="R423" s="6"/>
      <c r="S423" s="6"/>
      <c r="T423" s="6" t="s">
        <v>1917</v>
      </c>
      <c r="U423" s="6" t="s">
        <v>35</v>
      </c>
      <c r="V423" s="6"/>
      <c r="W423" s="6"/>
      <c r="X423" s="6" t="s">
        <v>63</v>
      </c>
      <c r="Y423" s="6" t="s">
        <v>39</v>
      </c>
      <c r="Z423" s="6" t="s">
        <v>40</v>
      </c>
      <c r="AA423" s="6" t="s">
        <v>41</v>
      </c>
      <c r="AB423" s="7" t="s">
        <v>1918</v>
      </c>
      <c r="AC423">
        <f>COUNTIF(Sheet1!$A$1:$A$50,Firms!A423)</f>
        <v>0</v>
      </c>
    </row>
    <row r="424" spans="1:30" ht="15" hidden="1" customHeight="1" x14ac:dyDescent="0.45">
      <c r="A424" s="4" t="s">
        <v>1919</v>
      </c>
      <c r="B424" s="4" t="s">
        <v>29</v>
      </c>
      <c r="C424" s="4"/>
      <c r="D424" s="4"/>
      <c r="E424" s="4" t="s">
        <v>1920</v>
      </c>
      <c r="F424" s="4"/>
      <c r="G424" s="4"/>
      <c r="H424" s="4"/>
      <c r="I424" s="4"/>
      <c r="J424" s="4"/>
      <c r="K424" s="4"/>
      <c r="L424" s="4"/>
      <c r="M424" s="4"/>
      <c r="N424" s="4"/>
      <c r="O424" s="4"/>
      <c r="P424" s="4" t="s">
        <v>83</v>
      </c>
      <c r="Q424" s="4"/>
      <c r="R424" s="4"/>
      <c r="S424" s="4"/>
      <c r="T424" s="4"/>
      <c r="U424" s="4" t="s">
        <v>35</v>
      </c>
      <c r="V424" s="4"/>
      <c r="W424" s="4"/>
      <c r="X424" s="4" t="s">
        <v>47</v>
      </c>
      <c r="Y424" s="4" t="s">
        <v>48</v>
      </c>
      <c r="Z424" s="4" t="s">
        <v>40</v>
      </c>
      <c r="AA424" s="4" t="s">
        <v>41</v>
      </c>
      <c r="AB424" s="5" t="s">
        <v>1921</v>
      </c>
      <c r="AC424">
        <f>COUNTIF(Sheet1!$A$1:$A$50,Firms!A424)</f>
        <v>0</v>
      </c>
    </row>
    <row r="425" spans="1:30" ht="15" customHeight="1" x14ac:dyDescent="0.45">
      <c r="A425" s="6" t="s">
        <v>1922</v>
      </c>
      <c r="B425" s="6" t="s">
        <v>29</v>
      </c>
      <c r="C425" s="6"/>
      <c r="D425" s="6"/>
      <c r="E425" s="6" t="s">
        <v>1923</v>
      </c>
      <c r="F425" s="6" t="s">
        <v>31</v>
      </c>
      <c r="G425" s="6" t="s">
        <v>173</v>
      </c>
      <c r="H425" s="6" t="s">
        <v>786</v>
      </c>
      <c r="I425" s="6"/>
      <c r="J425" s="6"/>
      <c r="K425" s="6"/>
      <c r="L425" s="6"/>
      <c r="M425" s="6" t="s">
        <v>192</v>
      </c>
      <c r="N425" s="6" t="s">
        <v>572</v>
      </c>
      <c r="O425" s="6" t="s">
        <v>32</v>
      </c>
      <c r="P425" s="6" t="s">
        <v>410</v>
      </c>
      <c r="Q425" s="6"/>
      <c r="R425" s="6"/>
      <c r="S425" s="6"/>
      <c r="T425" s="6" t="s">
        <v>1924</v>
      </c>
      <c r="U425" s="6" t="s">
        <v>35</v>
      </c>
      <c r="V425" s="6"/>
      <c r="W425" s="6"/>
      <c r="X425" s="6" t="s">
        <v>63</v>
      </c>
      <c r="Y425" s="6" t="s">
        <v>39</v>
      </c>
      <c r="Z425" s="6" t="s">
        <v>40</v>
      </c>
      <c r="AA425" s="6" t="s">
        <v>41</v>
      </c>
      <c r="AB425" s="7" t="s">
        <v>1925</v>
      </c>
      <c r="AC425">
        <f>COUNTIF(Sheet1!$A$1:$A$50,Firms!A425)</f>
        <v>1</v>
      </c>
      <c r="AD425" t="str">
        <f>SUBSTITUTE(AB425,"Seeded from CapIQ export. Numeric fields are regex first-pass — c","C")</f>
        <v>Crawler will confirm. capiq_description preserved for AI extraction fallback. | [extractor] Multi-strategy PE firm with three core strategies: Control Buyout ($40M–$1.5B revenue, $10–$250M equity/debt), Structured Capital (non-control debt/equity, $10–$250M), and Small Cap (&lt;$10M checks). North American headquarters. Broad industrial and business services focus. Portfolio companies visible and active. Three PDFs available but not parsed: Firm Overview, Structured Capital Overview, Add-On Criteria.</v>
      </c>
    </row>
    <row r="426" spans="1:30" ht="15" hidden="1" customHeight="1" x14ac:dyDescent="0.45">
      <c r="A426" s="4" t="s">
        <v>1926</v>
      </c>
      <c r="B426" s="4" t="s">
        <v>29</v>
      </c>
      <c r="C426" s="4"/>
      <c r="D426" s="4"/>
      <c r="E426" s="4" t="s">
        <v>1927</v>
      </c>
      <c r="F426" s="4"/>
      <c r="G426" s="4"/>
      <c r="H426" s="4"/>
      <c r="I426" s="4"/>
      <c r="J426" s="4"/>
      <c r="K426" s="4"/>
      <c r="L426" s="4"/>
      <c r="M426" s="4"/>
      <c r="N426" s="4"/>
      <c r="O426" s="4"/>
      <c r="P426" s="4" t="s">
        <v>226</v>
      </c>
      <c r="Q426" s="4"/>
      <c r="R426" s="4"/>
      <c r="S426" s="4"/>
      <c r="T426" s="4" t="s">
        <v>1928</v>
      </c>
      <c r="U426" s="4" t="s">
        <v>35</v>
      </c>
      <c r="V426" s="4"/>
      <c r="W426" s="4"/>
      <c r="X426" s="4" t="s">
        <v>47</v>
      </c>
      <c r="Y426" s="4" t="s">
        <v>48</v>
      </c>
      <c r="Z426" s="4" t="s">
        <v>40</v>
      </c>
      <c r="AA426" s="4" t="s">
        <v>41</v>
      </c>
      <c r="AB426" s="5" t="s">
        <v>1929</v>
      </c>
      <c r="AC426">
        <f>COUNTIF(Sheet1!$A$1:$A$50,Firms!A426)</f>
        <v>0</v>
      </c>
    </row>
    <row r="427" spans="1:30" ht="15" hidden="1" customHeight="1" x14ac:dyDescent="0.45">
      <c r="A427" s="6" t="s">
        <v>1930</v>
      </c>
      <c r="B427" s="6" t="s">
        <v>29</v>
      </c>
      <c r="C427" s="6"/>
      <c r="D427" s="6"/>
      <c r="E427" s="6" t="s">
        <v>1931</v>
      </c>
      <c r="F427" s="6" t="s">
        <v>81</v>
      </c>
      <c r="G427" s="6"/>
      <c r="H427" s="6"/>
      <c r="I427" s="6" t="s">
        <v>192</v>
      </c>
      <c r="J427" s="6" t="s">
        <v>70</v>
      </c>
      <c r="K427" s="6" t="s">
        <v>55</v>
      </c>
      <c r="L427" s="6" t="s">
        <v>456</v>
      </c>
      <c r="M427" s="6" t="s">
        <v>70</v>
      </c>
      <c r="N427" s="6" t="s">
        <v>136</v>
      </c>
      <c r="O427" s="6" t="s">
        <v>32</v>
      </c>
      <c r="P427" s="6" t="s">
        <v>111</v>
      </c>
      <c r="Q427" s="6"/>
      <c r="R427" s="6"/>
      <c r="S427" s="6"/>
      <c r="T427" s="6"/>
      <c r="U427" s="6" t="s">
        <v>35</v>
      </c>
      <c r="V427" s="6"/>
      <c r="W427" s="6"/>
      <c r="X427" s="6" t="s">
        <v>63</v>
      </c>
      <c r="Y427" s="6" t="s">
        <v>39</v>
      </c>
      <c r="Z427" s="6" t="s">
        <v>40</v>
      </c>
      <c r="AA427" s="6" t="s">
        <v>41</v>
      </c>
      <c r="AB427" s="7" t="s">
        <v>1932</v>
      </c>
      <c r="AC427">
        <f>COUNTIF(Sheet1!$A$1:$A$50,Firms!A427)</f>
        <v>0</v>
      </c>
    </row>
    <row r="428" spans="1:30" ht="15" hidden="1" customHeight="1" x14ac:dyDescent="0.45">
      <c r="A428" s="2" t="s">
        <v>1933</v>
      </c>
      <c r="B428" s="2" t="s">
        <v>29</v>
      </c>
      <c r="C428" s="2" t="s">
        <v>101</v>
      </c>
      <c r="D428" s="2" t="s">
        <v>151</v>
      </c>
      <c r="E428" s="2" t="s">
        <v>1934</v>
      </c>
      <c r="F428" s="2" t="s">
        <v>31</v>
      </c>
      <c r="G428" s="2"/>
      <c r="H428" s="2"/>
      <c r="I428" s="2" t="s">
        <v>137</v>
      </c>
      <c r="J428" s="2" t="s">
        <v>55</v>
      </c>
      <c r="K428" s="2"/>
      <c r="L428" s="2"/>
      <c r="M428" s="2"/>
      <c r="N428" s="2"/>
      <c r="O428" s="2" t="s">
        <v>193</v>
      </c>
      <c r="P428" s="2" t="s">
        <v>428</v>
      </c>
      <c r="Q428" s="2"/>
      <c r="R428" s="2"/>
      <c r="S428" s="2"/>
      <c r="T428" s="2" t="s">
        <v>1935</v>
      </c>
      <c r="U428" s="2" t="s">
        <v>35</v>
      </c>
      <c r="V428" s="2" t="s">
        <v>1383</v>
      </c>
      <c r="W428" s="2"/>
      <c r="X428" s="2" t="s">
        <v>38</v>
      </c>
      <c r="Y428" s="2" t="s">
        <v>39</v>
      </c>
      <c r="Z428" s="2" t="s">
        <v>40</v>
      </c>
      <c r="AA428" s="2" t="s">
        <v>41</v>
      </c>
      <c r="AB428" s="3" t="s">
        <v>1936</v>
      </c>
      <c r="AC428">
        <f>COUNTIF(Sheet1!$A$1:$A$50,Firms!A428)</f>
        <v>0</v>
      </c>
    </row>
    <row r="429" spans="1:30" ht="15" hidden="1" customHeight="1" x14ac:dyDescent="0.45">
      <c r="A429" s="6" t="s">
        <v>1937</v>
      </c>
      <c r="B429" s="6" t="s">
        <v>29</v>
      </c>
      <c r="C429" s="6"/>
      <c r="D429" s="6"/>
      <c r="E429" s="6" t="s">
        <v>1938</v>
      </c>
      <c r="F429" s="6" t="s">
        <v>31</v>
      </c>
      <c r="G429" s="6" t="s">
        <v>56</v>
      </c>
      <c r="H429" s="6" t="s">
        <v>127</v>
      </c>
      <c r="I429" s="6"/>
      <c r="J429" s="6"/>
      <c r="K429" s="6"/>
      <c r="L429" s="6"/>
      <c r="M429" s="6"/>
      <c r="N429" s="6"/>
      <c r="O429" s="6" t="s">
        <v>252</v>
      </c>
      <c r="P429" s="6" t="s">
        <v>253</v>
      </c>
      <c r="Q429" s="6"/>
      <c r="R429" s="6"/>
      <c r="S429" s="6"/>
      <c r="T429" s="6" t="s">
        <v>1939</v>
      </c>
      <c r="U429" s="6" t="s">
        <v>35</v>
      </c>
      <c r="V429" s="6"/>
      <c r="W429" s="6"/>
      <c r="X429" s="6" t="s">
        <v>63</v>
      </c>
      <c r="Y429" s="6" t="s">
        <v>39</v>
      </c>
      <c r="Z429" s="6" t="s">
        <v>40</v>
      </c>
      <c r="AA429" s="6" t="s">
        <v>41</v>
      </c>
      <c r="AB429" s="7" t="s">
        <v>1940</v>
      </c>
      <c r="AC429">
        <f>COUNTIF(Sheet1!$A$1:$A$50,Firms!A429)</f>
        <v>0</v>
      </c>
    </row>
    <row r="430" spans="1:30" ht="15" hidden="1" customHeight="1" x14ac:dyDescent="0.45">
      <c r="A430" s="2" t="s">
        <v>1941</v>
      </c>
      <c r="B430" s="2" t="s">
        <v>29</v>
      </c>
      <c r="C430" s="2"/>
      <c r="D430" s="2"/>
      <c r="E430" s="2" t="s">
        <v>1942</v>
      </c>
      <c r="F430" s="2" t="s">
        <v>31</v>
      </c>
      <c r="G430" s="2"/>
      <c r="H430" s="2"/>
      <c r="I430" s="2"/>
      <c r="J430" s="2"/>
      <c r="K430" s="2"/>
      <c r="L430" s="2"/>
      <c r="M430" s="2"/>
      <c r="N430" s="2"/>
      <c r="O430" s="2" t="s">
        <v>32</v>
      </c>
      <c r="P430" s="2" t="s">
        <v>253</v>
      </c>
      <c r="Q430" s="2"/>
      <c r="R430" s="2"/>
      <c r="S430" s="2"/>
      <c r="T430" s="2" t="s">
        <v>127</v>
      </c>
      <c r="U430" s="2" t="s">
        <v>35</v>
      </c>
      <c r="V430" s="2"/>
      <c r="W430" s="2" t="s">
        <v>1943</v>
      </c>
      <c r="X430" s="2" t="s">
        <v>38</v>
      </c>
      <c r="Y430" s="2" t="s">
        <v>39</v>
      </c>
      <c r="Z430" s="2" t="s">
        <v>40</v>
      </c>
      <c r="AA430" s="2" t="s">
        <v>41</v>
      </c>
      <c r="AB430" s="3" t="s">
        <v>1944</v>
      </c>
      <c r="AC430">
        <f>COUNTIF(Sheet1!$A$1:$A$50,Firms!A430)</f>
        <v>0</v>
      </c>
    </row>
    <row r="431" spans="1:30" ht="15" hidden="1" customHeight="1" x14ac:dyDescent="0.45">
      <c r="A431" s="4" t="s">
        <v>1945</v>
      </c>
      <c r="B431" s="4" t="s">
        <v>44</v>
      </c>
      <c r="C431" s="4"/>
      <c r="D431" s="4"/>
      <c r="E431" s="4" t="s">
        <v>1946</v>
      </c>
      <c r="F431" s="4"/>
      <c r="G431" s="4"/>
      <c r="H431" s="4"/>
      <c r="I431" s="4"/>
      <c r="J431" s="4"/>
      <c r="K431" s="4"/>
      <c r="L431" s="4"/>
      <c r="M431" s="4"/>
      <c r="N431" s="4"/>
      <c r="O431" s="4"/>
      <c r="P431" s="4" t="s">
        <v>681</v>
      </c>
      <c r="Q431" s="4"/>
      <c r="R431" s="4"/>
      <c r="S431" s="4"/>
      <c r="T431" s="4" t="s">
        <v>1947</v>
      </c>
      <c r="U431" s="4" t="s">
        <v>35</v>
      </c>
      <c r="V431" s="4"/>
      <c r="W431" s="4"/>
      <c r="X431" s="4" t="s">
        <v>47</v>
      </c>
      <c r="Y431" s="4" t="s">
        <v>48</v>
      </c>
      <c r="Z431" s="4" t="s">
        <v>40</v>
      </c>
      <c r="AA431" s="4" t="s">
        <v>41</v>
      </c>
      <c r="AB431" s="5" t="s">
        <v>1948</v>
      </c>
      <c r="AC431">
        <f>COUNTIF(Sheet1!$A$1:$A$50,Firms!A431)</f>
        <v>0</v>
      </c>
    </row>
    <row r="432" spans="1:30" ht="15" hidden="1" customHeight="1" x14ac:dyDescent="0.45">
      <c r="A432" s="2" t="s">
        <v>1949</v>
      </c>
      <c r="B432" s="2" t="s">
        <v>29</v>
      </c>
      <c r="C432" s="2"/>
      <c r="D432" s="2"/>
      <c r="E432" s="2" t="s">
        <v>1950</v>
      </c>
      <c r="F432" s="2" t="s">
        <v>81</v>
      </c>
      <c r="G432" s="2"/>
      <c r="H432" s="2"/>
      <c r="I432" s="2"/>
      <c r="J432" s="2"/>
      <c r="K432" s="2"/>
      <c r="L432" s="2"/>
      <c r="M432" s="2"/>
      <c r="N432" s="2"/>
      <c r="O432" s="2" t="s">
        <v>193</v>
      </c>
      <c r="P432" s="2" t="s">
        <v>1951</v>
      </c>
      <c r="Q432" s="2"/>
      <c r="R432" s="2"/>
      <c r="S432" s="2"/>
      <c r="T432" s="2" t="s">
        <v>1952</v>
      </c>
      <c r="U432" s="2" t="s">
        <v>35</v>
      </c>
      <c r="V432" s="2" t="s">
        <v>672</v>
      </c>
      <c r="W432" s="2"/>
      <c r="X432" s="2" t="s">
        <v>38</v>
      </c>
      <c r="Y432" s="2" t="s">
        <v>39</v>
      </c>
      <c r="Z432" s="2" t="s">
        <v>40</v>
      </c>
      <c r="AA432" s="2" t="s">
        <v>41</v>
      </c>
      <c r="AB432" s="3" t="s">
        <v>1953</v>
      </c>
      <c r="AC432">
        <f>COUNTIF(Sheet1!$A$1:$A$50,Firms!A432)</f>
        <v>0</v>
      </c>
    </row>
    <row r="433" spans="1:30" ht="15" hidden="1" customHeight="1" x14ac:dyDescent="0.45">
      <c r="A433" s="2" t="s">
        <v>1954</v>
      </c>
      <c r="B433" s="2" t="s">
        <v>29</v>
      </c>
      <c r="C433" s="2" t="s">
        <v>1955</v>
      </c>
      <c r="D433" s="2" t="s">
        <v>1036</v>
      </c>
      <c r="E433" s="2" t="s">
        <v>1956</v>
      </c>
      <c r="F433" s="2" t="s">
        <v>81</v>
      </c>
      <c r="G433" s="2"/>
      <c r="H433" s="2"/>
      <c r="I433" s="2"/>
      <c r="J433" s="2"/>
      <c r="K433" s="2"/>
      <c r="L433" s="2"/>
      <c r="M433" s="2"/>
      <c r="N433" s="2"/>
      <c r="O433" s="2" t="s">
        <v>32</v>
      </c>
      <c r="P433" s="2" t="s">
        <v>105</v>
      </c>
      <c r="Q433" s="2"/>
      <c r="R433" s="2"/>
      <c r="S433" s="2"/>
      <c r="T433" s="2"/>
      <c r="U433" s="2" t="s">
        <v>35</v>
      </c>
      <c r="V433" s="2"/>
      <c r="W433" s="2"/>
      <c r="X433" s="2" t="s">
        <v>38</v>
      </c>
      <c r="Y433" s="2" t="s">
        <v>39</v>
      </c>
      <c r="Z433" s="2" t="s">
        <v>40</v>
      </c>
      <c r="AA433" s="2" t="s">
        <v>41</v>
      </c>
      <c r="AB433" s="3" t="s">
        <v>1957</v>
      </c>
      <c r="AC433">
        <f>COUNTIF(Sheet1!$A$1:$A$50,Firms!A433)</f>
        <v>0</v>
      </c>
    </row>
    <row r="434" spans="1:30" ht="15" hidden="1" customHeight="1" x14ac:dyDescent="0.45">
      <c r="A434" s="6" t="s">
        <v>1958</v>
      </c>
      <c r="B434" s="6" t="s">
        <v>29</v>
      </c>
      <c r="C434" s="6"/>
      <c r="D434" s="6"/>
      <c r="E434" s="6" t="s">
        <v>1959</v>
      </c>
      <c r="F434" s="6" t="s">
        <v>31</v>
      </c>
      <c r="G434" s="6"/>
      <c r="H434" s="6"/>
      <c r="I434" s="6" t="s">
        <v>135</v>
      </c>
      <c r="J434" s="6" t="s">
        <v>110</v>
      </c>
      <c r="K434" s="6" t="s">
        <v>110</v>
      </c>
      <c r="L434" s="6" t="s">
        <v>563</v>
      </c>
      <c r="M434" s="6"/>
      <c r="N434" s="6"/>
      <c r="O434" s="6" t="s">
        <v>72</v>
      </c>
      <c r="P434" s="6" t="s">
        <v>351</v>
      </c>
      <c r="Q434" s="6"/>
      <c r="R434" s="6"/>
      <c r="S434" s="6"/>
      <c r="T434" s="6"/>
      <c r="U434" s="6" t="s">
        <v>35</v>
      </c>
      <c r="V434" s="6"/>
      <c r="W434" s="6"/>
      <c r="X434" s="6" t="s">
        <v>63</v>
      </c>
      <c r="Y434" s="6" t="s">
        <v>39</v>
      </c>
      <c r="Z434" s="6" t="s">
        <v>40</v>
      </c>
      <c r="AA434" s="6" t="s">
        <v>41</v>
      </c>
      <c r="AB434" s="7" t="s">
        <v>1960</v>
      </c>
      <c r="AC434">
        <f>COUNTIF(Sheet1!$A$1:$A$50,Firms!A434)</f>
        <v>0</v>
      </c>
    </row>
    <row r="435" spans="1:30" ht="15" hidden="1" customHeight="1" x14ac:dyDescent="0.45">
      <c r="A435" s="2" t="s">
        <v>1961</v>
      </c>
      <c r="B435" s="2" t="s">
        <v>29</v>
      </c>
      <c r="C435" s="2" t="s">
        <v>162</v>
      </c>
      <c r="D435" s="2" t="s">
        <v>163</v>
      </c>
      <c r="E435" s="2" t="s">
        <v>1962</v>
      </c>
      <c r="F435" s="2" t="s">
        <v>81</v>
      </c>
      <c r="G435" s="2"/>
      <c r="H435" s="2"/>
      <c r="I435" s="2"/>
      <c r="J435" s="2"/>
      <c r="K435" s="2"/>
      <c r="L435" s="2"/>
      <c r="M435" s="2"/>
      <c r="N435" s="2"/>
      <c r="O435" s="2" t="s">
        <v>32</v>
      </c>
      <c r="P435" s="2" t="s">
        <v>158</v>
      </c>
      <c r="Q435" s="2"/>
      <c r="R435" s="2"/>
      <c r="S435" s="2"/>
      <c r="T435" s="2"/>
      <c r="U435" s="2"/>
      <c r="V435" s="2" t="s">
        <v>247</v>
      </c>
      <c r="W435" s="2" t="s">
        <v>1963</v>
      </c>
      <c r="X435" s="2" t="s">
        <v>38</v>
      </c>
      <c r="Y435" s="2" t="s">
        <v>39</v>
      </c>
      <c r="Z435" s="2" t="s">
        <v>40</v>
      </c>
      <c r="AA435" s="2" t="s">
        <v>41</v>
      </c>
      <c r="AB435" s="3" t="s">
        <v>1964</v>
      </c>
      <c r="AC435">
        <f>COUNTIF(Sheet1!$A$1:$A$50,Firms!A435)</f>
        <v>0</v>
      </c>
    </row>
    <row r="436" spans="1:30" ht="15" hidden="1" customHeight="1" x14ac:dyDescent="0.45">
      <c r="A436" s="2" t="s">
        <v>1965</v>
      </c>
      <c r="B436" s="2" t="s">
        <v>29</v>
      </c>
      <c r="C436" s="2" t="s">
        <v>101</v>
      </c>
      <c r="D436" s="2" t="s">
        <v>959</v>
      </c>
      <c r="E436" s="2" t="s">
        <v>1966</v>
      </c>
      <c r="F436" s="2" t="s">
        <v>31</v>
      </c>
      <c r="G436" s="2"/>
      <c r="H436" s="2"/>
      <c r="I436" s="2" t="s">
        <v>125</v>
      </c>
      <c r="J436" s="2"/>
      <c r="K436" s="2"/>
      <c r="L436" s="2"/>
      <c r="M436" s="2"/>
      <c r="N436" s="2"/>
      <c r="O436" s="2" t="s">
        <v>32</v>
      </c>
      <c r="P436" s="2" t="s">
        <v>241</v>
      </c>
      <c r="Q436" s="2"/>
      <c r="R436" s="2"/>
      <c r="S436" s="2"/>
      <c r="T436" s="2" t="s">
        <v>70</v>
      </c>
      <c r="U436" s="2" t="s">
        <v>35</v>
      </c>
      <c r="V436" s="2" t="s">
        <v>1967</v>
      </c>
      <c r="W436" s="2" t="s">
        <v>1968</v>
      </c>
      <c r="X436" s="2" t="s">
        <v>38</v>
      </c>
      <c r="Y436" s="2" t="s">
        <v>39</v>
      </c>
      <c r="Z436" s="2" t="s">
        <v>40</v>
      </c>
      <c r="AA436" s="2" t="s">
        <v>41</v>
      </c>
      <c r="AB436" s="3" t="s">
        <v>1969</v>
      </c>
      <c r="AC436">
        <f>COUNTIF(Sheet1!$A$1:$A$50,Firms!A436)</f>
        <v>0</v>
      </c>
    </row>
    <row r="437" spans="1:30" ht="15" hidden="1" customHeight="1" x14ac:dyDescent="0.45">
      <c r="A437" s="4" t="s">
        <v>1970</v>
      </c>
      <c r="B437" s="4" t="s">
        <v>29</v>
      </c>
      <c r="C437" s="4"/>
      <c r="D437" s="4"/>
      <c r="E437" s="4" t="s">
        <v>1971</v>
      </c>
      <c r="F437" s="4"/>
      <c r="G437" s="4"/>
      <c r="H437" s="4"/>
      <c r="I437" s="4"/>
      <c r="J437" s="4"/>
      <c r="K437" s="4"/>
      <c r="L437" s="4"/>
      <c r="M437" s="4"/>
      <c r="N437" s="4"/>
      <c r="O437" s="4"/>
      <c r="P437" s="4" t="s">
        <v>889</v>
      </c>
      <c r="Q437" s="4"/>
      <c r="R437" s="4"/>
      <c r="S437" s="4"/>
      <c r="T437" s="4" t="s">
        <v>1972</v>
      </c>
      <c r="U437" s="4" t="s">
        <v>35</v>
      </c>
      <c r="V437" s="4"/>
      <c r="W437" s="4"/>
      <c r="X437" s="4" t="s">
        <v>47</v>
      </c>
      <c r="Y437" s="4" t="s">
        <v>48</v>
      </c>
      <c r="Z437" s="4" t="s">
        <v>40</v>
      </c>
      <c r="AA437" s="4" t="s">
        <v>41</v>
      </c>
      <c r="AB437" s="5" t="s">
        <v>1973</v>
      </c>
      <c r="AC437">
        <f>COUNTIF(Sheet1!$A$1:$A$50,Firms!A437)</f>
        <v>0</v>
      </c>
    </row>
    <row r="438" spans="1:30" ht="15" hidden="1" customHeight="1" x14ac:dyDescent="0.45">
      <c r="A438" s="2" t="s">
        <v>1974</v>
      </c>
      <c r="B438" s="2" t="s">
        <v>29</v>
      </c>
      <c r="C438" s="2" t="s">
        <v>331</v>
      </c>
      <c r="D438" s="2" t="s">
        <v>332</v>
      </c>
      <c r="E438" s="2" t="s">
        <v>1975</v>
      </c>
      <c r="F438" s="2" t="s">
        <v>81</v>
      </c>
      <c r="G438" s="2"/>
      <c r="H438" s="2"/>
      <c r="I438" s="2"/>
      <c r="J438" s="2"/>
      <c r="K438" s="2"/>
      <c r="L438" s="2"/>
      <c r="M438" s="2"/>
      <c r="N438" s="2"/>
      <c r="O438" s="2" t="s">
        <v>32</v>
      </c>
      <c r="P438" s="2" t="s">
        <v>484</v>
      </c>
      <c r="Q438" s="2"/>
      <c r="R438" s="2"/>
      <c r="S438" s="2"/>
      <c r="T438" s="2"/>
      <c r="U438" s="2" t="s">
        <v>35</v>
      </c>
      <c r="V438" s="2"/>
      <c r="W438" s="2"/>
      <c r="X438" s="2" t="s">
        <v>38</v>
      </c>
      <c r="Y438" s="2" t="s">
        <v>39</v>
      </c>
      <c r="Z438" s="2" t="s">
        <v>40</v>
      </c>
      <c r="AA438" s="2" t="s">
        <v>41</v>
      </c>
      <c r="AB438" s="3" t="s">
        <v>1976</v>
      </c>
      <c r="AC438">
        <f>COUNTIF(Sheet1!$A$1:$A$50,Firms!A438)</f>
        <v>0</v>
      </c>
    </row>
    <row r="439" spans="1:30" ht="15" hidden="1" customHeight="1" x14ac:dyDescent="0.45">
      <c r="A439" s="4" t="s">
        <v>1977</v>
      </c>
      <c r="B439" s="4" t="s">
        <v>29</v>
      </c>
      <c r="C439" s="4"/>
      <c r="D439" s="4"/>
      <c r="E439" s="4" t="s">
        <v>1978</v>
      </c>
      <c r="F439" s="4"/>
      <c r="G439" s="4"/>
      <c r="H439" s="4"/>
      <c r="I439" s="4"/>
      <c r="J439" s="4"/>
      <c r="K439" s="4"/>
      <c r="L439" s="4"/>
      <c r="M439" s="4"/>
      <c r="N439" s="4"/>
      <c r="O439" s="4"/>
      <c r="P439" s="4" t="s">
        <v>105</v>
      </c>
      <c r="Q439" s="4"/>
      <c r="R439" s="4"/>
      <c r="S439" s="4"/>
      <c r="T439" s="4"/>
      <c r="U439" s="4" t="s">
        <v>35</v>
      </c>
      <c r="V439" s="4"/>
      <c r="W439" s="4"/>
      <c r="X439" s="4" t="s">
        <v>38</v>
      </c>
      <c r="Y439" s="4" t="s">
        <v>48</v>
      </c>
      <c r="Z439" s="4" t="s">
        <v>40</v>
      </c>
      <c r="AA439" s="4" t="s">
        <v>41</v>
      </c>
      <c r="AB439" s="5" t="s">
        <v>1979</v>
      </c>
      <c r="AC439">
        <f>COUNTIF(Sheet1!$A$1:$A$50,Firms!A439)</f>
        <v>0</v>
      </c>
    </row>
    <row r="440" spans="1:30" ht="15" hidden="1" customHeight="1" x14ac:dyDescent="0.45">
      <c r="A440" s="6" t="s">
        <v>1980</v>
      </c>
      <c r="B440" s="6" t="s">
        <v>29</v>
      </c>
      <c r="C440" s="6"/>
      <c r="D440" s="6" t="s">
        <v>337</v>
      </c>
      <c r="E440" s="6" t="s">
        <v>1981</v>
      </c>
      <c r="F440" s="6" t="s">
        <v>31</v>
      </c>
      <c r="G440" s="6"/>
      <c r="H440" s="6"/>
      <c r="I440" s="6"/>
      <c r="J440" s="6"/>
      <c r="K440" s="6" t="s">
        <v>56</v>
      </c>
      <c r="L440" s="6" t="s">
        <v>812</v>
      </c>
      <c r="M440" s="6" t="s">
        <v>173</v>
      </c>
      <c r="N440" s="6" t="s">
        <v>873</v>
      </c>
      <c r="O440" s="6" t="s">
        <v>104</v>
      </c>
      <c r="P440" s="6" t="s">
        <v>1349</v>
      </c>
      <c r="Q440" s="6"/>
      <c r="R440" s="6"/>
      <c r="S440" s="6"/>
      <c r="T440" s="6" t="s">
        <v>1982</v>
      </c>
      <c r="U440" s="6" t="s">
        <v>35</v>
      </c>
      <c r="V440" s="6"/>
      <c r="W440" s="6"/>
      <c r="X440" s="6" t="s">
        <v>63</v>
      </c>
      <c r="Y440" s="6" t="s">
        <v>39</v>
      </c>
      <c r="Z440" s="6" t="s">
        <v>40</v>
      </c>
      <c r="AA440" s="6" t="s">
        <v>41</v>
      </c>
      <c r="AB440" s="7" t="s">
        <v>1983</v>
      </c>
      <c r="AC440">
        <f>COUNTIF(Sheet1!$A$1:$A$50,Firms!A440)</f>
        <v>0</v>
      </c>
    </row>
    <row r="441" spans="1:30" ht="15" hidden="1" customHeight="1" x14ac:dyDescent="0.45">
      <c r="A441" s="2" t="s">
        <v>1984</v>
      </c>
      <c r="B441" s="2" t="s">
        <v>29</v>
      </c>
      <c r="C441" s="2" t="s">
        <v>78</v>
      </c>
      <c r="D441" s="2" t="s">
        <v>1985</v>
      </c>
      <c r="E441" s="2" t="s">
        <v>1986</v>
      </c>
      <c r="F441" s="2" t="s">
        <v>31</v>
      </c>
      <c r="G441" s="2"/>
      <c r="H441" s="2"/>
      <c r="I441" s="2"/>
      <c r="J441" s="2"/>
      <c r="K441" s="2"/>
      <c r="L441" s="2"/>
      <c r="M441" s="2"/>
      <c r="N441" s="2"/>
      <c r="O441" s="2" t="s">
        <v>32</v>
      </c>
      <c r="P441" s="2" t="s">
        <v>1987</v>
      </c>
      <c r="Q441" s="2" t="s">
        <v>46</v>
      </c>
      <c r="R441" s="2"/>
      <c r="S441" s="2"/>
      <c r="T441" s="2" t="s">
        <v>1988</v>
      </c>
      <c r="U441" s="2"/>
      <c r="V441" s="2"/>
      <c r="W441" s="2"/>
      <c r="X441" s="2" t="s">
        <v>38</v>
      </c>
      <c r="Y441" s="2" t="s">
        <v>39</v>
      </c>
      <c r="Z441" s="2" t="s">
        <v>40</v>
      </c>
      <c r="AA441" s="2" t="s">
        <v>41</v>
      </c>
      <c r="AB441" s="3" t="s">
        <v>1989</v>
      </c>
      <c r="AC441">
        <f>COUNTIF(Sheet1!$A$1:$A$50,Firms!A441)</f>
        <v>0</v>
      </c>
    </row>
    <row r="442" spans="1:30" ht="15" hidden="1" customHeight="1" x14ac:dyDescent="0.45">
      <c r="A442" s="4" t="s">
        <v>1990</v>
      </c>
      <c r="B442" s="4" t="s">
        <v>29</v>
      </c>
      <c r="C442" s="4"/>
      <c r="D442" s="4"/>
      <c r="E442" s="4" t="s">
        <v>1991</v>
      </c>
      <c r="F442" s="4"/>
      <c r="G442" s="4"/>
      <c r="H442" s="4"/>
      <c r="I442" s="4"/>
      <c r="J442" s="4"/>
      <c r="K442" s="4"/>
      <c r="L442" s="4"/>
      <c r="M442" s="4"/>
      <c r="N442" s="4"/>
      <c r="O442" s="4"/>
      <c r="P442" s="4" t="s">
        <v>309</v>
      </c>
      <c r="Q442" s="4"/>
      <c r="R442" s="4"/>
      <c r="S442" s="4"/>
      <c r="T442" s="4"/>
      <c r="U442" s="4" t="s">
        <v>35</v>
      </c>
      <c r="V442" s="4"/>
      <c r="W442" s="4"/>
      <c r="X442" s="4" t="s">
        <v>47</v>
      </c>
      <c r="Y442" s="4" t="s">
        <v>48</v>
      </c>
      <c r="Z442" s="4" t="s">
        <v>40</v>
      </c>
      <c r="AA442" s="4" t="s">
        <v>41</v>
      </c>
      <c r="AB442" s="5" t="s">
        <v>1992</v>
      </c>
      <c r="AC442">
        <f>COUNTIF(Sheet1!$A$1:$A$50,Firms!A442)</f>
        <v>0</v>
      </c>
    </row>
    <row r="443" spans="1:30" ht="15" customHeight="1" x14ac:dyDescent="0.45">
      <c r="A443" s="6" t="s">
        <v>1993</v>
      </c>
      <c r="B443" s="6" t="s">
        <v>291</v>
      </c>
      <c r="C443" s="6" t="s">
        <v>132</v>
      </c>
      <c r="D443" s="6" t="s">
        <v>163</v>
      </c>
      <c r="E443" s="6" t="s">
        <v>1994</v>
      </c>
      <c r="F443" s="6" t="s">
        <v>81</v>
      </c>
      <c r="G443" s="6" t="s">
        <v>192</v>
      </c>
      <c r="H443" s="6" t="s">
        <v>136</v>
      </c>
      <c r="I443" s="6" t="s">
        <v>125</v>
      </c>
      <c r="J443" s="6" t="s">
        <v>54</v>
      </c>
      <c r="K443" s="6" t="s">
        <v>192</v>
      </c>
      <c r="L443" s="6" t="s">
        <v>1670</v>
      </c>
      <c r="M443" s="6"/>
      <c r="N443" s="6"/>
      <c r="O443" s="6" t="s">
        <v>72</v>
      </c>
      <c r="P443" s="6" t="s">
        <v>1694</v>
      </c>
      <c r="Q443" s="6"/>
      <c r="R443" s="6"/>
      <c r="S443" s="6"/>
      <c r="T443" s="6"/>
      <c r="U443" s="6"/>
      <c r="V443" s="6"/>
      <c r="W443" s="6"/>
      <c r="X443" s="6" t="s">
        <v>63</v>
      </c>
      <c r="Y443" s="6" t="s">
        <v>39</v>
      </c>
      <c r="Z443" s="6" t="s">
        <v>40</v>
      </c>
      <c r="AA443" s="6" t="s">
        <v>41</v>
      </c>
      <c r="AB443" s="7" t="s">
        <v>1995</v>
      </c>
      <c r="AC443">
        <f>COUNTIF(Sheet1!$A$1:$A$50,Firms!A443)</f>
        <v>1</v>
      </c>
      <c r="AD443" t="str">
        <f>SUBSTITUTE(AB443,"Seeded from CapIQ export. Numeric fields are regex first-pass — c","C")</f>
        <v>Crawler will confirm. capiq_description preserved for AI extraction fallback. | [extractor] Family office with perpetual/evergreen capital base. Primarily majority investments (control) in founder/family-owned businesses. Transaction types include family/founder liquidity, management buyouts, recaps, and growth capital. Conservative capital structures with modest to no leverage. Representative sectors: Industrial &amp; Environmental Services, Building Products, Infrastructure &amp; Power, Niche Manufacturing, Facility &amp; Commercial Services, Outsourced Business Services, Value-Add Distribution, Specialty Rental. 25+ year track record since 1996. Firm Overview PDF available: https://wareing.com/pdf/Wareing%20%26%20Co%20-%20Two%20Pager-2292026.pdf</v>
      </c>
    </row>
    <row r="444" spans="1:30" ht="15" hidden="1" customHeight="1" x14ac:dyDescent="0.45">
      <c r="A444" s="4" t="s">
        <v>1996</v>
      </c>
      <c r="B444" s="4" t="s">
        <v>44</v>
      </c>
      <c r="C444" s="4"/>
      <c r="D444" s="4"/>
      <c r="E444" s="4" t="s">
        <v>1997</v>
      </c>
      <c r="F444" s="4"/>
      <c r="G444" s="4"/>
      <c r="H444" s="4"/>
      <c r="I444" s="4"/>
      <c r="J444" s="4"/>
      <c r="K444" s="4"/>
      <c r="L444" s="4"/>
      <c r="M444" s="4"/>
      <c r="N444" s="4"/>
      <c r="O444" s="4"/>
      <c r="P444" s="4" t="s">
        <v>378</v>
      </c>
      <c r="Q444" s="4"/>
      <c r="R444" s="4"/>
      <c r="S444" s="4"/>
      <c r="T444" s="4"/>
      <c r="U444" s="4" t="s">
        <v>35</v>
      </c>
      <c r="V444" s="4"/>
      <c r="W444" s="4"/>
      <c r="X444" s="4" t="s">
        <v>47</v>
      </c>
      <c r="Y444" s="4" t="s">
        <v>48</v>
      </c>
      <c r="Z444" s="4" t="s">
        <v>40</v>
      </c>
      <c r="AA444" s="4" t="s">
        <v>41</v>
      </c>
      <c r="AB444" s="5" t="s">
        <v>1998</v>
      </c>
      <c r="AC444">
        <f>COUNTIF(Sheet1!$A$1:$A$50,Firms!A444)</f>
        <v>0</v>
      </c>
    </row>
    <row r="445" spans="1:30" ht="15" hidden="1" customHeight="1" x14ac:dyDescent="0.45">
      <c r="A445" s="6" t="s">
        <v>1999</v>
      </c>
      <c r="B445" s="6" t="s">
        <v>29</v>
      </c>
      <c r="C445" s="6"/>
      <c r="D445" s="6"/>
      <c r="E445" s="6" t="s">
        <v>2000</v>
      </c>
      <c r="F445" s="6" t="s">
        <v>31</v>
      </c>
      <c r="G445" s="6"/>
      <c r="H445" s="6" t="s">
        <v>55</v>
      </c>
      <c r="I445" s="6"/>
      <c r="J445" s="6" t="s">
        <v>192</v>
      </c>
      <c r="K445" s="6"/>
      <c r="L445" s="6" t="s">
        <v>136</v>
      </c>
      <c r="M445" s="6" t="s">
        <v>192</v>
      </c>
      <c r="N445" s="6" t="s">
        <v>55</v>
      </c>
      <c r="O445" s="6" t="s">
        <v>32</v>
      </c>
      <c r="P445" s="6" t="s">
        <v>88</v>
      </c>
      <c r="Q445" s="6" t="s">
        <v>2001</v>
      </c>
      <c r="R445" s="6"/>
      <c r="S445" s="6"/>
      <c r="T445" s="6"/>
      <c r="U445" s="6" t="s">
        <v>35</v>
      </c>
      <c r="V445" s="6"/>
      <c r="W445" s="6"/>
      <c r="X445" s="6" t="s">
        <v>63</v>
      </c>
      <c r="Y445" s="6" t="s">
        <v>39</v>
      </c>
      <c r="Z445" s="6" t="s">
        <v>40</v>
      </c>
      <c r="AA445" s="6" t="s">
        <v>41</v>
      </c>
      <c r="AB445" s="7" t="s">
        <v>2002</v>
      </c>
      <c r="AC445">
        <f>COUNTIF(Sheet1!$A$1:$A$50,Firms!A445)</f>
        <v>0</v>
      </c>
    </row>
    <row r="446" spans="1:30" ht="15" hidden="1" customHeight="1" x14ac:dyDescent="0.45">
      <c r="A446" s="2" t="s">
        <v>2003</v>
      </c>
      <c r="B446" s="2" t="s">
        <v>29</v>
      </c>
      <c r="C446" s="2"/>
      <c r="D446" s="2"/>
      <c r="E446" s="2" t="s">
        <v>2004</v>
      </c>
      <c r="F446" s="2" t="s">
        <v>81</v>
      </c>
      <c r="G446" s="2"/>
      <c r="H446" s="2"/>
      <c r="I446" s="2"/>
      <c r="J446" s="2"/>
      <c r="K446" s="2"/>
      <c r="L446" s="2"/>
      <c r="M446" s="2"/>
      <c r="N446" s="2"/>
      <c r="O446" s="2" t="s">
        <v>32</v>
      </c>
      <c r="P446" s="2" t="s">
        <v>158</v>
      </c>
      <c r="Q446" s="2" t="s">
        <v>2005</v>
      </c>
      <c r="R446" s="2"/>
      <c r="S446" s="2"/>
      <c r="T446" s="2" t="s">
        <v>2006</v>
      </c>
      <c r="U446" s="2" t="s">
        <v>35</v>
      </c>
      <c r="V446" s="2" t="s">
        <v>154</v>
      </c>
      <c r="W446" s="2"/>
      <c r="X446" s="2" t="s">
        <v>38</v>
      </c>
      <c r="Y446" s="2" t="s">
        <v>39</v>
      </c>
      <c r="Z446" s="2" t="s">
        <v>40</v>
      </c>
      <c r="AA446" s="2" t="s">
        <v>41</v>
      </c>
      <c r="AB446" s="3" t="s">
        <v>2007</v>
      </c>
      <c r="AC446">
        <f>COUNTIF(Sheet1!$A$1:$A$50,Firms!A446)</f>
        <v>0</v>
      </c>
    </row>
    <row r="447" spans="1:30" ht="15" hidden="1" customHeight="1" x14ac:dyDescent="0.45">
      <c r="A447" s="6" t="s">
        <v>2008</v>
      </c>
      <c r="B447" s="6" t="s">
        <v>291</v>
      </c>
      <c r="C447" s="6"/>
      <c r="D447" s="6"/>
      <c r="E447" s="6" t="s">
        <v>2009</v>
      </c>
      <c r="F447" s="6" t="s">
        <v>81</v>
      </c>
      <c r="G447" s="6" t="s">
        <v>54</v>
      </c>
      <c r="H447" s="6" t="s">
        <v>55</v>
      </c>
      <c r="I447" s="6" t="s">
        <v>125</v>
      </c>
      <c r="J447" s="6" t="s">
        <v>192</v>
      </c>
      <c r="K447" s="6"/>
      <c r="L447" s="6"/>
      <c r="M447" s="6"/>
      <c r="N447" s="6"/>
      <c r="O447" s="6" t="s">
        <v>32</v>
      </c>
      <c r="P447" s="6" t="s">
        <v>533</v>
      </c>
      <c r="Q447" s="6"/>
      <c r="R447" s="6"/>
      <c r="S447" s="6"/>
      <c r="T447" s="6"/>
      <c r="U447" s="6"/>
      <c r="V447" s="6" t="s">
        <v>188</v>
      </c>
      <c r="W447" s="6"/>
      <c r="X447" s="6" t="s">
        <v>63</v>
      </c>
      <c r="Y447" s="6" t="s">
        <v>39</v>
      </c>
      <c r="Z447" s="6" t="s">
        <v>40</v>
      </c>
      <c r="AA447" s="6" t="s">
        <v>41</v>
      </c>
      <c r="AB447" s="7" t="s">
        <v>2010</v>
      </c>
      <c r="AC447">
        <f>COUNTIF(Sheet1!$A$1:$A$50,Firms!A447)</f>
        <v>0</v>
      </c>
    </row>
    <row r="448" spans="1:30" ht="15" hidden="1" customHeight="1" x14ac:dyDescent="0.45">
      <c r="A448" s="2" t="s">
        <v>2011</v>
      </c>
      <c r="B448" s="2" t="s">
        <v>29</v>
      </c>
      <c r="C448" s="2"/>
      <c r="D448" s="2"/>
      <c r="E448" s="2" t="s">
        <v>2012</v>
      </c>
      <c r="F448" s="2" t="s">
        <v>81</v>
      </c>
      <c r="G448" s="2"/>
      <c r="H448" s="2"/>
      <c r="I448" s="2"/>
      <c r="J448" s="2"/>
      <c r="K448" s="2"/>
      <c r="L448" s="2"/>
      <c r="M448" s="2"/>
      <c r="N448" s="2"/>
      <c r="O448" s="2" t="s">
        <v>32</v>
      </c>
      <c r="P448" s="2" t="s">
        <v>659</v>
      </c>
      <c r="Q448" s="2"/>
      <c r="R448" s="2"/>
      <c r="S448" s="2"/>
      <c r="T448" s="2" t="s">
        <v>1452</v>
      </c>
      <c r="U448" s="2" t="s">
        <v>35</v>
      </c>
      <c r="V448" s="2"/>
      <c r="W448" s="2"/>
      <c r="X448" s="2" t="s">
        <v>38</v>
      </c>
      <c r="Y448" s="2" t="s">
        <v>39</v>
      </c>
      <c r="Z448" s="2" t="s">
        <v>40</v>
      </c>
      <c r="AA448" s="2" t="s">
        <v>41</v>
      </c>
      <c r="AB448" s="3" t="s">
        <v>2013</v>
      </c>
      <c r="AC448">
        <f>COUNTIF(Sheet1!$A$1:$A$50,Firms!A448)</f>
        <v>0</v>
      </c>
    </row>
    <row r="449" spans="1:30" ht="15" hidden="1" customHeight="1" x14ac:dyDescent="0.45">
      <c r="A449" s="4" t="s">
        <v>2014</v>
      </c>
      <c r="B449" s="4" t="s">
        <v>44</v>
      </c>
      <c r="C449" s="4"/>
      <c r="D449" s="4"/>
      <c r="E449" s="4" t="s">
        <v>2015</v>
      </c>
      <c r="F449" s="4"/>
      <c r="G449" s="4"/>
      <c r="H449" s="4"/>
      <c r="I449" s="4"/>
      <c r="J449" s="4"/>
      <c r="K449" s="4"/>
      <c r="L449" s="4"/>
      <c r="M449" s="4"/>
      <c r="N449" s="4"/>
      <c r="O449" s="4"/>
      <c r="P449" s="4" t="s">
        <v>841</v>
      </c>
      <c r="Q449" s="4"/>
      <c r="R449" s="4"/>
      <c r="S449" s="4"/>
      <c r="T449" s="4"/>
      <c r="U449" s="4"/>
      <c r="V449" s="4"/>
      <c r="W449" s="4"/>
      <c r="X449" s="4" t="s">
        <v>47</v>
      </c>
      <c r="Y449" s="4" t="s">
        <v>48</v>
      </c>
      <c r="Z449" s="4" t="s">
        <v>40</v>
      </c>
      <c r="AA449" s="4" t="s">
        <v>41</v>
      </c>
      <c r="AB449" s="5" t="s">
        <v>2016</v>
      </c>
      <c r="AC449">
        <f>COUNTIF(Sheet1!$A$1:$A$50,Firms!A449)</f>
        <v>0</v>
      </c>
    </row>
    <row r="450" spans="1:30" ht="15" hidden="1" customHeight="1" x14ac:dyDescent="0.45">
      <c r="A450" s="6" t="s">
        <v>2017</v>
      </c>
      <c r="B450" s="6" t="s">
        <v>29</v>
      </c>
      <c r="C450" s="6" t="s">
        <v>1701</v>
      </c>
      <c r="D450" s="6" t="s">
        <v>2018</v>
      </c>
      <c r="E450" s="6" t="s">
        <v>2019</v>
      </c>
      <c r="F450" s="6" t="s">
        <v>81</v>
      </c>
      <c r="G450" s="6" t="s">
        <v>192</v>
      </c>
      <c r="H450" s="6" t="s">
        <v>572</v>
      </c>
      <c r="I450" s="6" t="s">
        <v>135</v>
      </c>
      <c r="J450" s="6" t="s">
        <v>70</v>
      </c>
      <c r="K450" s="6"/>
      <c r="L450" s="6"/>
      <c r="M450" s="6"/>
      <c r="N450" s="6"/>
      <c r="O450" s="6" t="s">
        <v>252</v>
      </c>
      <c r="P450" s="6" t="s">
        <v>279</v>
      </c>
      <c r="Q450" s="6" t="s">
        <v>2020</v>
      </c>
      <c r="R450" s="6" t="s">
        <v>2021</v>
      </c>
      <c r="S450" s="6"/>
      <c r="T450" s="6"/>
      <c r="U450" s="6" t="s">
        <v>35</v>
      </c>
      <c r="V450" s="6" t="s">
        <v>2022</v>
      </c>
      <c r="W450" s="6"/>
      <c r="X450" s="6" t="s">
        <v>63</v>
      </c>
      <c r="Y450" s="6" t="s">
        <v>39</v>
      </c>
      <c r="Z450" s="6" t="s">
        <v>40</v>
      </c>
      <c r="AA450" s="6" t="s">
        <v>41</v>
      </c>
      <c r="AB450" s="7" t="s">
        <v>2023</v>
      </c>
      <c r="AC450">
        <f>COUNTIF(Sheet1!$A$1:$A$50,Firms!A450)</f>
        <v>0</v>
      </c>
    </row>
    <row r="451" spans="1:30" ht="15" hidden="1" customHeight="1" x14ac:dyDescent="0.45">
      <c r="A451" s="6" t="s">
        <v>2024</v>
      </c>
      <c r="B451" s="6" t="s">
        <v>29</v>
      </c>
      <c r="C451" s="6" t="s">
        <v>331</v>
      </c>
      <c r="D451" s="6" t="s">
        <v>332</v>
      </c>
      <c r="E451" s="6" t="s">
        <v>2025</v>
      </c>
      <c r="F451" s="6" t="s">
        <v>31</v>
      </c>
      <c r="G451" s="6"/>
      <c r="H451" s="6"/>
      <c r="I451" s="6" t="s">
        <v>192</v>
      </c>
      <c r="J451" s="6" t="s">
        <v>70</v>
      </c>
      <c r="K451" s="6"/>
      <c r="L451" s="6"/>
      <c r="M451" s="6" t="s">
        <v>70</v>
      </c>
      <c r="N451" s="6" t="s">
        <v>572</v>
      </c>
      <c r="O451" s="6" t="s">
        <v>32</v>
      </c>
      <c r="P451" s="6" t="s">
        <v>533</v>
      </c>
      <c r="Q451" s="6" t="s">
        <v>2026</v>
      </c>
      <c r="R451" s="6"/>
      <c r="S451" s="6"/>
      <c r="T451" s="6"/>
      <c r="U451" s="6" t="s">
        <v>35</v>
      </c>
      <c r="V451" s="6" t="s">
        <v>2027</v>
      </c>
      <c r="W451" s="6"/>
      <c r="X451" s="6" t="s">
        <v>63</v>
      </c>
      <c r="Y451" s="6" t="s">
        <v>39</v>
      </c>
      <c r="Z451" s="6" t="s">
        <v>40</v>
      </c>
      <c r="AA451" s="6" t="s">
        <v>41</v>
      </c>
      <c r="AB451" s="7" t="s">
        <v>2028</v>
      </c>
      <c r="AC451">
        <f>COUNTIF(Sheet1!$A$1:$A$50,Firms!A451)</f>
        <v>0</v>
      </c>
    </row>
    <row r="452" spans="1:30" ht="15" hidden="1" customHeight="1" x14ac:dyDescent="0.45">
      <c r="A452" s="2" t="s">
        <v>2029</v>
      </c>
      <c r="B452" s="2" t="s">
        <v>29</v>
      </c>
      <c r="C452" s="2" t="s">
        <v>78</v>
      </c>
      <c r="D452" s="2" t="s">
        <v>755</v>
      </c>
      <c r="E452" s="2" t="s">
        <v>2030</v>
      </c>
      <c r="F452" s="2" t="s">
        <v>81</v>
      </c>
      <c r="G452" s="2"/>
      <c r="H452" s="2"/>
      <c r="I452" s="2"/>
      <c r="J452" s="2"/>
      <c r="K452" s="2"/>
      <c r="L452" s="2"/>
      <c r="M452" s="2"/>
      <c r="N452" s="2"/>
      <c r="O452" s="2" t="s">
        <v>32</v>
      </c>
      <c r="P452" s="2" t="s">
        <v>503</v>
      </c>
      <c r="Q452" s="2"/>
      <c r="R452" s="2"/>
      <c r="S452" s="2"/>
      <c r="T452" s="2"/>
      <c r="U452" s="2" t="s">
        <v>35</v>
      </c>
      <c r="V452" s="2" t="s">
        <v>612</v>
      </c>
      <c r="W452" s="2"/>
      <c r="X452" s="2" t="s">
        <v>38</v>
      </c>
      <c r="Y452" s="2" t="s">
        <v>39</v>
      </c>
      <c r="Z452" s="2" t="s">
        <v>40</v>
      </c>
      <c r="AA452" s="2" t="s">
        <v>41</v>
      </c>
      <c r="AB452" s="3" t="s">
        <v>2031</v>
      </c>
      <c r="AC452">
        <f>COUNTIF(Sheet1!$A$1:$A$50,Firms!A452)</f>
        <v>0</v>
      </c>
    </row>
    <row r="453" spans="1:30" ht="15" hidden="1" customHeight="1" x14ac:dyDescent="0.45">
      <c r="A453" s="2" t="s">
        <v>2032</v>
      </c>
      <c r="B453" s="2" t="s">
        <v>29</v>
      </c>
      <c r="C453" s="2"/>
      <c r="D453" s="2"/>
      <c r="E453" s="2" t="s">
        <v>2033</v>
      </c>
      <c r="F453" s="2" t="s">
        <v>81</v>
      </c>
      <c r="G453" s="2"/>
      <c r="H453" s="2"/>
      <c r="I453" s="2"/>
      <c r="J453" s="2"/>
      <c r="K453" s="2"/>
      <c r="L453" s="2"/>
      <c r="M453" s="2"/>
      <c r="N453" s="2"/>
      <c r="O453" s="2" t="s">
        <v>32</v>
      </c>
      <c r="P453" s="2" t="s">
        <v>139</v>
      </c>
      <c r="Q453" s="2"/>
      <c r="R453" s="2"/>
      <c r="S453" s="2"/>
      <c r="T453" s="2"/>
      <c r="U453" s="2" t="s">
        <v>35</v>
      </c>
      <c r="V453" s="2"/>
      <c r="W453" s="2"/>
      <c r="X453" s="2" t="s">
        <v>38</v>
      </c>
      <c r="Y453" s="2" t="s">
        <v>39</v>
      </c>
      <c r="Z453" s="2" t="s">
        <v>40</v>
      </c>
      <c r="AA453" s="2" t="s">
        <v>41</v>
      </c>
      <c r="AB453" s="3" t="s">
        <v>2034</v>
      </c>
      <c r="AC453">
        <f>COUNTIF(Sheet1!$A$1:$A$50,Firms!A453)</f>
        <v>0</v>
      </c>
    </row>
    <row r="454" spans="1:30" ht="15" hidden="1" customHeight="1" x14ac:dyDescent="0.45">
      <c r="A454" s="6" t="s">
        <v>2035</v>
      </c>
      <c r="B454" s="6" t="s">
        <v>29</v>
      </c>
      <c r="C454" s="6" t="s">
        <v>1621</v>
      </c>
      <c r="D454" s="6" t="s">
        <v>2036</v>
      </c>
      <c r="E454" s="6" t="s">
        <v>2037</v>
      </c>
      <c r="F454" s="6" t="s">
        <v>81</v>
      </c>
      <c r="G454" s="6"/>
      <c r="H454" s="6"/>
      <c r="I454" s="6" t="s">
        <v>125</v>
      </c>
      <c r="J454" s="6" t="s">
        <v>192</v>
      </c>
      <c r="K454" s="6"/>
      <c r="L454" s="6"/>
      <c r="M454" s="6"/>
      <c r="N454" s="6"/>
      <c r="O454" s="6" t="s">
        <v>32</v>
      </c>
      <c r="P454" s="6" t="s">
        <v>2038</v>
      </c>
      <c r="Q454" s="6"/>
      <c r="R454" s="6"/>
      <c r="S454" s="6"/>
      <c r="T454" s="6"/>
      <c r="U454" s="6" t="s">
        <v>35</v>
      </c>
      <c r="V454" s="6"/>
      <c r="W454" s="6"/>
      <c r="X454" s="6" t="s">
        <v>63</v>
      </c>
      <c r="Y454" s="6" t="s">
        <v>39</v>
      </c>
      <c r="Z454" s="6" t="s">
        <v>40</v>
      </c>
      <c r="AA454" s="6" t="s">
        <v>41</v>
      </c>
      <c r="AB454" s="7" t="s">
        <v>2039</v>
      </c>
      <c r="AC454">
        <f>COUNTIF(Sheet1!$A$1:$A$50,Firms!A454)</f>
        <v>0</v>
      </c>
    </row>
    <row r="455" spans="1:30" ht="15" customHeight="1" x14ac:dyDescent="0.45">
      <c r="A455" s="6" t="s">
        <v>2040</v>
      </c>
      <c r="B455" s="6" t="s">
        <v>29</v>
      </c>
      <c r="C455" s="6" t="s">
        <v>272</v>
      </c>
      <c r="D455" s="6" t="s">
        <v>273</v>
      </c>
      <c r="E455" s="6" t="s">
        <v>2041</v>
      </c>
      <c r="F455" s="6" t="s">
        <v>31</v>
      </c>
      <c r="G455" s="6"/>
      <c r="H455" s="6"/>
      <c r="I455" s="6" t="s">
        <v>192</v>
      </c>
      <c r="J455" s="6" t="s">
        <v>56</v>
      </c>
      <c r="K455" s="6"/>
      <c r="L455" s="6"/>
      <c r="M455" s="6"/>
      <c r="N455" s="6"/>
      <c r="O455" s="6" t="s">
        <v>32</v>
      </c>
      <c r="P455" s="6" t="s">
        <v>88</v>
      </c>
      <c r="Q455" s="6"/>
      <c r="R455" s="6"/>
      <c r="S455" s="6"/>
      <c r="T455" s="6"/>
      <c r="U455" s="6" t="s">
        <v>35</v>
      </c>
      <c r="V455" s="6"/>
      <c r="W455" s="6"/>
      <c r="X455" s="6" t="s">
        <v>63</v>
      </c>
      <c r="Y455" s="6" t="s">
        <v>39</v>
      </c>
      <c r="Z455" s="6" t="s">
        <v>40</v>
      </c>
      <c r="AA455" s="6" t="s">
        <v>41</v>
      </c>
      <c r="AB455" s="7" t="s">
        <v>2042</v>
      </c>
      <c r="AC455">
        <f>COUNTIF(Sheet1!$A$1:$A$50,Firms!A455)</f>
        <v>1</v>
      </c>
      <c r="AD455" t="str">
        <f t="shared" ref="AD455:AD457" si="5">SUBSTITUTE(AB455,"Seeded from CapIQ export. Numeric fields are regex first-pass — c","C")</f>
        <v>Crawler will confirm. capiq_description preserved for AI extraction fallback. | [extractor] Founded 1984. Majority equity control positions in lower/middle market. North American focus with active add-on acquisition strategy (buy-and-build). Criteria PDF available: https://www.wppartners.com/app/uploads/2026/05/Wind-Point-Partners-Overview-May-26.pdf — not parsed. HQ: 676 N. Michigan Avenue, Suite 3700, Chicago, IL 60611.</v>
      </c>
    </row>
    <row r="456" spans="1:30" ht="15" customHeight="1" x14ac:dyDescent="0.45">
      <c r="A456" s="6" t="s">
        <v>2043</v>
      </c>
      <c r="B456" s="6" t="s">
        <v>29</v>
      </c>
      <c r="C456" s="6" t="s">
        <v>234</v>
      </c>
      <c r="D456" s="6" t="s">
        <v>2044</v>
      </c>
      <c r="E456" s="6" t="s">
        <v>2045</v>
      </c>
      <c r="F456" s="6" t="s">
        <v>31</v>
      </c>
      <c r="G456" s="6" t="s">
        <v>469</v>
      </c>
      <c r="H456" s="6"/>
      <c r="I456" s="6" t="s">
        <v>1536</v>
      </c>
      <c r="J456" s="6" t="s">
        <v>70</v>
      </c>
      <c r="K456" s="6"/>
      <c r="L456" s="6"/>
      <c r="M456" s="6" t="s">
        <v>70</v>
      </c>
      <c r="N456" s="6" t="s">
        <v>59</v>
      </c>
      <c r="O456" s="6" t="s">
        <v>72</v>
      </c>
      <c r="P456" s="6" t="s">
        <v>410</v>
      </c>
      <c r="Q456" s="6"/>
      <c r="R456" s="6"/>
      <c r="S456" s="6"/>
      <c r="T456" s="6" t="s">
        <v>2046</v>
      </c>
      <c r="U456" s="6" t="s">
        <v>35</v>
      </c>
      <c r="V456" s="6" t="s">
        <v>128</v>
      </c>
      <c r="W456" s="6"/>
      <c r="X456" s="6" t="s">
        <v>63</v>
      </c>
      <c r="Y456" s="6" t="s">
        <v>39</v>
      </c>
      <c r="Z456" s="6" t="s">
        <v>40</v>
      </c>
      <c r="AA456" s="6" t="s">
        <v>41</v>
      </c>
      <c r="AB456" s="7" t="s">
        <v>2047</v>
      </c>
      <c r="AC456">
        <f>COUNTIF(Sheet1!$A$1:$A$50,Firms!A456)</f>
        <v>1</v>
      </c>
      <c r="AD456" t="str">
        <f t="shared" si="5"/>
        <v>Crawler will confirm. capiq_description preserved for AI extraction fallback. | [extractor] Explicit investment criteria found on website. Firm operating since 1990 with most recent deal March 2026. EBITDA range $8M-$50M for platforms; check size $50M-$200M. Focus on niche manufacturing, business services, specialty distribution, healthcare, and consumer/food. Deal types include buyouts, recaps, family-owned carve-outs, public-to-private. Geography: North America HQ with global add-on acquisition strategy. Secondary office in Newport Beach, CA. Six funds identified (Fund I-VI) but specific vintage years and AUM not disclosed on pages reviewed.</v>
      </c>
    </row>
    <row r="457" spans="1:30" ht="15" customHeight="1" x14ac:dyDescent="0.45">
      <c r="A457" s="6" t="s">
        <v>2048</v>
      </c>
      <c r="B457" s="6" t="s">
        <v>29</v>
      </c>
      <c r="C457" s="6"/>
      <c r="D457" s="6" t="s">
        <v>273</v>
      </c>
      <c r="E457" s="6" t="s">
        <v>2049</v>
      </c>
      <c r="F457" s="6" t="s">
        <v>31</v>
      </c>
      <c r="G457" s="6" t="s">
        <v>55</v>
      </c>
      <c r="H457" s="6" t="s">
        <v>98</v>
      </c>
      <c r="I457" s="6"/>
      <c r="J457" s="6"/>
      <c r="K457" s="6"/>
      <c r="L457" s="6"/>
      <c r="M457" s="6"/>
      <c r="N457" s="6"/>
      <c r="O457" s="6" t="s">
        <v>32</v>
      </c>
      <c r="P457" s="6" t="s">
        <v>111</v>
      </c>
      <c r="Q457" s="6"/>
      <c r="R457" s="6"/>
      <c r="S457" s="6"/>
      <c r="T457" s="6" t="s">
        <v>2050</v>
      </c>
      <c r="U457" s="6" t="s">
        <v>35</v>
      </c>
      <c r="V457" s="6"/>
      <c r="W457" s="6"/>
      <c r="X457" s="6" t="s">
        <v>63</v>
      </c>
      <c r="Y457" s="6" t="s">
        <v>39</v>
      </c>
      <c r="Z457" s="6" t="s">
        <v>40</v>
      </c>
      <c r="AA457" s="6" t="s">
        <v>41</v>
      </c>
      <c r="AB457" s="7" t="s">
        <v>2051</v>
      </c>
      <c r="AC457">
        <f>COUNTIF(Sheet1!$A$1:$A$50,Firms!A457)</f>
        <v>1</v>
      </c>
      <c r="AD457" t="str">
        <f t="shared" si="5"/>
        <v>Crawler will confirm. capiq_description preserved for AI extraction fallback. | [extractor] Middle-market PE firm with 20+ years history. Factsheet PDF available at https://www.wynnchurch.com/assets/site/pdf/Wynnchurch-Fact-Sheet_2026-04-28-151128_yfhd.pdf (not parsed). Geographic focus: North American. Specializes in complex transactions. Portfolio includes U.S. Pipe, Foss Manufacturing, Humanetics, NSC Minerals. No explicit minimum check size found; revenue range represents 'average investment' sizing.</v>
      </c>
    </row>
    <row r="458" spans="1:30" ht="15" hidden="1" customHeight="1" x14ac:dyDescent="0.45">
      <c r="A458" s="4" t="s">
        <v>2052</v>
      </c>
      <c r="B458" s="4" t="s">
        <v>44</v>
      </c>
      <c r="C458" s="4"/>
      <c r="D458" s="4"/>
      <c r="E458" s="4" t="s">
        <v>2053</v>
      </c>
      <c r="F458" s="4"/>
      <c r="G458" s="4"/>
      <c r="H458" s="4"/>
      <c r="I458" s="4"/>
      <c r="J458" s="4"/>
      <c r="K458" s="4"/>
      <c r="L458" s="4"/>
      <c r="M458" s="4"/>
      <c r="N458" s="4"/>
      <c r="O458" s="4"/>
      <c r="P458" s="4" t="s">
        <v>616</v>
      </c>
      <c r="Q458" s="4"/>
      <c r="R458" s="4"/>
      <c r="S458" s="4"/>
      <c r="T458" s="4"/>
      <c r="U458" s="4" t="s">
        <v>35</v>
      </c>
      <c r="V458" s="4"/>
      <c r="W458" s="4"/>
      <c r="X458" s="4" t="s">
        <v>47</v>
      </c>
      <c r="Y458" s="4" t="s">
        <v>48</v>
      </c>
      <c r="Z458" s="4" t="s">
        <v>40</v>
      </c>
      <c r="AA458" s="4" t="s">
        <v>2054</v>
      </c>
      <c r="AB458" s="5" t="s">
        <v>2055</v>
      </c>
      <c r="AC458">
        <f>COUNTIF(Sheet1!$A$1:$A$50,Firms!A458)</f>
        <v>0</v>
      </c>
    </row>
    <row r="459" spans="1:30" ht="15" hidden="1" customHeight="1" x14ac:dyDescent="0.45">
      <c r="A459" s="4" t="s">
        <v>2056</v>
      </c>
      <c r="B459" s="4" t="s">
        <v>44</v>
      </c>
      <c r="C459" s="4"/>
      <c r="D459" s="4"/>
      <c r="E459" s="4" t="s">
        <v>2057</v>
      </c>
      <c r="F459" s="4"/>
      <c r="G459" s="4"/>
      <c r="H459" s="4"/>
      <c r="I459" s="4"/>
      <c r="J459" s="4"/>
      <c r="K459" s="4"/>
      <c r="L459" s="4"/>
      <c r="M459" s="4"/>
      <c r="N459" s="4"/>
      <c r="O459" s="4"/>
      <c r="P459" s="4"/>
      <c r="Q459" s="4"/>
      <c r="R459" s="4"/>
      <c r="S459" s="4"/>
      <c r="T459" s="4"/>
      <c r="U459" s="4" t="s">
        <v>35</v>
      </c>
      <c r="V459" s="4"/>
      <c r="W459" s="4"/>
      <c r="X459" s="4" t="s">
        <v>47</v>
      </c>
      <c r="Y459" s="4" t="s">
        <v>48</v>
      </c>
      <c r="Z459" s="4" t="s">
        <v>40</v>
      </c>
      <c r="AA459" s="4" t="s">
        <v>2054</v>
      </c>
      <c r="AB459" s="5" t="s">
        <v>2055</v>
      </c>
      <c r="AC459">
        <f>COUNTIF(Sheet1!$A$1:$A$50,Firms!A459)</f>
        <v>0</v>
      </c>
    </row>
    <row r="460" spans="1:30" ht="15" hidden="1" customHeight="1" x14ac:dyDescent="0.45">
      <c r="A460" s="4" t="s">
        <v>2058</v>
      </c>
      <c r="B460" s="4" t="s">
        <v>44</v>
      </c>
      <c r="C460" s="4"/>
      <c r="D460" s="4"/>
      <c r="E460" s="4" t="s">
        <v>2059</v>
      </c>
      <c r="F460" s="4"/>
      <c r="G460" s="4"/>
      <c r="H460" s="4"/>
      <c r="I460" s="4"/>
      <c r="J460" s="4"/>
      <c r="K460" s="4"/>
      <c r="L460" s="4"/>
      <c r="M460" s="4"/>
      <c r="N460" s="4"/>
      <c r="O460" s="4"/>
      <c r="P460" s="4"/>
      <c r="Q460" s="4"/>
      <c r="R460" s="4"/>
      <c r="S460" s="4"/>
      <c r="T460" s="4"/>
      <c r="U460" s="4" t="s">
        <v>35</v>
      </c>
      <c r="V460" s="4"/>
      <c r="W460" s="4"/>
      <c r="X460" s="4" t="s">
        <v>47</v>
      </c>
      <c r="Y460" s="4" t="s">
        <v>48</v>
      </c>
      <c r="Z460" s="4" t="s">
        <v>40</v>
      </c>
      <c r="AA460" s="4" t="s">
        <v>2054</v>
      </c>
      <c r="AB460" s="5" t="s">
        <v>2055</v>
      </c>
      <c r="AC460">
        <f>COUNTIF(Sheet1!$A$1:$A$50,Firms!A460)</f>
        <v>0</v>
      </c>
    </row>
    <row r="461" spans="1:30" ht="15" hidden="1" customHeight="1" x14ac:dyDescent="0.45">
      <c r="A461" s="4" t="s">
        <v>2060</v>
      </c>
      <c r="B461" s="4" t="s">
        <v>44</v>
      </c>
      <c r="C461" s="4"/>
      <c r="D461" s="4"/>
      <c r="E461" s="4" t="s">
        <v>2061</v>
      </c>
      <c r="F461" s="4"/>
      <c r="G461" s="4"/>
      <c r="H461" s="4"/>
      <c r="I461" s="4"/>
      <c r="J461" s="4"/>
      <c r="K461" s="4"/>
      <c r="L461" s="4"/>
      <c r="M461" s="4"/>
      <c r="N461" s="4"/>
      <c r="O461" s="4"/>
      <c r="P461" s="4" t="s">
        <v>309</v>
      </c>
      <c r="Q461" s="4"/>
      <c r="R461" s="4"/>
      <c r="S461" s="4"/>
      <c r="T461" s="4"/>
      <c r="U461" s="4" t="s">
        <v>35</v>
      </c>
      <c r="V461" s="4"/>
      <c r="W461" s="4"/>
      <c r="X461" s="4" t="s">
        <v>47</v>
      </c>
      <c r="Y461" s="4" t="s">
        <v>48</v>
      </c>
      <c r="Z461" s="4" t="s">
        <v>40</v>
      </c>
      <c r="AA461" s="4" t="s">
        <v>2054</v>
      </c>
      <c r="AB461" s="5" t="s">
        <v>2055</v>
      </c>
      <c r="AC461">
        <f>COUNTIF(Sheet1!$A$1:$A$50,Firms!A461)</f>
        <v>0</v>
      </c>
    </row>
    <row r="462" spans="1:30" ht="15" hidden="1" customHeight="1" x14ac:dyDescent="0.45">
      <c r="A462" s="4" t="s">
        <v>2062</v>
      </c>
      <c r="B462" s="4" t="s">
        <v>44</v>
      </c>
      <c r="C462" s="4"/>
      <c r="D462" s="4"/>
      <c r="E462" s="4" t="s">
        <v>2063</v>
      </c>
      <c r="F462" s="4"/>
      <c r="G462" s="4"/>
      <c r="H462" s="4"/>
      <c r="I462" s="4"/>
      <c r="J462" s="4"/>
      <c r="K462" s="4"/>
      <c r="L462" s="4"/>
      <c r="M462" s="4"/>
      <c r="N462" s="4"/>
      <c r="O462" s="4"/>
      <c r="P462" s="4"/>
      <c r="Q462" s="4"/>
      <c r="R462" s="4"/>
      <c r="S462" s="4"/>
      <c r="T462" s="4" t="s">
        <v>2064</v>
      </c>
      <c r="U462" s="4" t="s">
        <v>35</v>
      </c>
      <c r="V462" s="4"/>
      <c r="W462" s="4"/>
      <c r="X462" s="4" t="s">
        <v>47</v>
      </c>
      <c r="Y462" s="4" t="s">
        <v>48</v>
      </c>
      <c r="Z462" s="4" t="s">
        <v>40</v>
      </c>
      <c r="AA462" s="4" t="s">
        <v>2054</v>
      </c>
      <c r="AB462" s="5" t="s">
        <v>2055</v>
      </c>
      <c r="AC462">
        <f>COUNTIF(Sheet1!$A$1:$A$50,Firms!A462)</f>
        <v>0</v>
      </c>
    </row>
    <row r="463" spans="1:30" ht="15" hidden="1" customHeight="1" x14ac:dyDescent="0.45">
      <c r="A463" s="4" t="s">
        <v>2065</v>
      </c>
      <c r="B463" s="4" t="s">
        <v>44</v>
      </c>
      <c r="C463" s="4"/>
      <c r="D463" s="4"/>
      <c r="E463" s="4" t="s">
        <v>2066</v>
      </c>
      <c r="F463" s="4"/>
      <c r="G463" s="4"/>
      <c r="H463" s="4"/>
      <c r="I463" s="4"/>
      <c r="J463" s="4"/>
      <c r="K463" s="4"/>
      <c r="L463" s="4"/>
      <c r="M463" s="4"/>
      <c r="N463" s="4"/>
      <c r="O463" s="4"/>
      <c r="P463" s="4" t="s">
        <v>201</v>
      </c>
      <c r="Q463" s="4"/>
      <c r="R463" s="4"/>
      <c r="S463" s="4"/>
      <c r="T463" s="4" t="s">
        <v>2067</v>
      </c>
      <c r="U463" s="4" t="s">
        <v>35</v>
      </c>
      <c r="V463" s="4"/>
      <c r="W463" s="4"/>
      <c r="X463" s="4" t="s">
        <v>47</v>
      </c>
      <c r="Y463" s="4" t="s">
        <v>48</v>
      </c>
      <c r="Z463" s="4" t="s">
        <v>40</v>
      </c>
      <c r="AA463" s="4" t="s">
        <v>2054</v>
      </c>
      <c r="AB463" s="5" t="s">
        <v>2055</v>
      </c>
      <c r="AC463">
        <f>COUNTIF(Sheet1!$A$1:$A$50,Firms!A463)</f>
        <v>0</v>
      </c>
    </row>
    <row r="464" spans="1:30" ht="15" hidden="1" customHeight="1" x14ac:dyDescent="0.45">
      <c r="A464" s="4" t="s">
        <v>2068</v>
      </c>
      <c r="B464" s="4" t="s">
        <v>44</v>
      </c>
      <c r="C464" s="4"/>
      <c r="D464" s="4"/>
      <c r="E464" s="4" t="s">
        <v>2069</v>
      </c>
      <c r="F464" s="4"/>
      <c r="G464" s="4"/>
      <c r="H464" s="4"/>
      <c r="I464" s="4"/>
      <c r="J464" s="4"/>
      <c r="K464" s="4"/>
      <c r="L464" s="4"/>
      <c r="M464" s="4"/>
      <c r="N464" s="4"/>
      <c r="O464" s="4"/>
      <c r="P464" s="4" t="s">
        <v>269</v>
      </c>
      <c r="Q464" s="4"/>
      <c r="R464" s="4"/>
      <c r="S464" s="4"/>
      <c r="T464" s="4"/>
      <c r="U464" s="4" t="s">
        <v>35</v>
      </c>
      <c r="V464" s="4"/>
      <c r="W464" s="4"/>
      <c r="X464" s="4" t="s">
        <v>47</v>
      </c>
      <c r="Y464" s="4" t="s">
        <v>48</v>
      </c>
      <c r="Z464" s="4" t="s">
        <v>40</v>
      </c>
      <c r="AA464" s="4" t="s">
        <v>2054</v>
      </c>
      <c r="AB464" s="5" t="s">
        <v>2070</v>
      </c>
      <c r="AC464">
        <f>COUNTIF(Sheet1!$A$1:$A$50,Firms!A464)</f>
        <v>0</v>
      </c>
    </row>
    <row r="465" spans="1:29" ht="15" hidden="1" customHeight="1" x14ac:dyDescent="0.45">
      <c r="A465" s="4" t="s">
        <v>2071</v>
      </c>
      <c r="B465" s="4" t="s">
        <v>44</v>
      </c>
      <c r="C465" s="4"/>
      <c r="D465" s="4"/>
      <c r="E465" s="4" t="s">
        <v>2072</v>
      </c>
      <c r="F465" s="4"/>
      <c r="G465" s="4"/>
      <c r="H465" s="4"/>
      <c r="I465" s="4"/>
      <c r="J465" s="4"/>
      <c r="K465" s="4"/>
      <c r="L465" s="4"/>
      <c r="M465" s="4"/>
      <c r="N465" s="4"/>
      <c r="O465" s="4"/>
      <c r="P465" s="4" t="s">
        <v>424</v>
      </c>
      <c r="Q465" s="4"/>
      <c r="R465" s="4"/>
      <c r="S465" s="4"/>
      <c r="T465" s="4"/>
      <c r="U465" s="4" t="s">
        <v>35</v>
      </c>
      <c r="V465" s="4"/>
      <c r="W465" s="4"/>
      <c r="X465" s="4" t="s">
        <v>47</v>
      </c>
      <c r="Y465" s="4" t="s">
        <v>48</v>
      </c>
      <c r="Z465" s="4" t="s">
        <v>40</v>
      </c>
      <c r="AA465" s="4" t="s">
        <v>2054</v>
      </c>
      <c r="AB465" s="5" t="s">
        <v>2055</v>
      </c>
      <c r="AC465">
        <f>COUNTIF(Sheet1!$A$1:$A$50,Firms!A465)</f>
        <v>0</v>
      </c>
    </row>
    <row r="466" spans="1:29" ht="15" hidden="1" customHeight="1" x14ac:dyDescent="0.45">
      <c r="A466" s="4" t="s">
        <v>2073</v>
      </c>
      <c r="B466" s="4" t="s">
        <v>44</v>
      </c>
      <c r="C466" s="4"/>
      <c r="D466" s="4"/>
      <c r="E466" s="4" t="s">
        <v>2074</v>
      </c>
      <c r="F466" s="4"/>
      <c r="G466" s="4"/>
      <c r="H466" s="4"/>
      <c r="I466" s="4"/>
      <c r="J466" s="4"/>
      <c r="K466" s="4"/>
      <c r="L466" s="4"/>
      <c r="M466" s="4"/>
      <c r="N466" s="4"/>
      <c r="O466" s="4"/>
      <c r="P466" s="4" t="s">
        <v>653</v>
      </c>
      <c r="Q466" s="4"/>
      <c r="R466" s="4"/>
      <c r="S466" s="4"/>
      <c r="T466" s="4"/>
      <c r="U466" s="4"/>
      <c r="V466" s="4"/>
      <c r="W466" s="4"/>
      <c r="X466" s="4" t="s">
        <v>47</v>
      </c>
      <c r="Y466" s="4" t="s">
        <v>48</v>
      </c>
      <c r="Z466" s="4" t="s">
        <v>40</v>
      </c>
      <c r="AA466" s="4" t="s">
        <v>2054</v>
      </c>
      <c r="AB466" s="5" t="s">
        <v>2055</v>
      </c>
      <c r="AC466">
        <f>COUNTIF(Sheet1!$A$1:$A$50,Firms!A466)</f>
        <v>0</v>
      </c>
    </row>
    <row r="467" spans="1:29" ht="15" hidden="1" customHeight="1" x14ac:dyDescent="0.45">
      <c r="A467" s="4" t="s">
        <v>2075</v>
      </c>
      <c r="B467" s="4" t="s">
        <v>44</v>
      </c>
      <c r="C467" s="4"/>
      <c r="D467" s="4"/>
      <c r="E467" s="4" t="s">
        <v>2076</v>
      </c>
      <c r="F467" s="4"/>
      <c r="G467" s="4"/>
      <c r="H467" s="4"/>
      <c r="I467" s="4"/>
      <c r="J467" s="4"/>
      <c r="K467" s="4"/>
      <c r="L467" s="4"/>
      <c r="M467" s="4"/>
      <c r="N467" s="4"/>
      <c r="O467" s="4"/>
      <c r="P467" s="4" t="s">
        <v>116</v>
      </c>
      <c r="Q467" s="4"/>
      <c r="R467" s="4"/>
      <c r="S467" s="4"/>
      <c r="T467" s="4"/>
      <c r="U467" s="4" t="s">
        <v>35</v>
      </c>
      <c r="V467" s="4"/>
      <c r="W467" s="4"/>
      <c r="X467" s="4" t="s">
        <v>47</v>
      </c>
      <c r="Y467" s="4" t="s">
        <v>48</v>
      </c>
      <c r="Z467" s="4" t="s">
        <v>40</v>
      </c>
      <c r="AA467" s="4" t="s">
        <v>2054</v>
      </c>
      <c r="AB467" s="5" t="s">
        <v>2055</v>
      </c>
      <c r="AC467">
        <f>COUNTIF(Sheet1!$A$1:$A$50,Firms!A467)</f>
        <v>0</v>
      </c>
    </row>
    <row r="468" spans="1:29" ht="15" hidden="1" customHeight="1" x14ac:dyDescent="0.45">
      <c r="A468" s="4" t="s">
        <v>2077</v>
      </c>
      <c r="B468" s="4" t="s">
        <v>44</v>
      </c>
      <c r="C468" s="4"/>
      <c r="D468" s="4"/>
      <c r="E468" s="4" t="s">
        <v>2078</v>
      </c>
      <c r="F468" s="4"/>
      <c r="G468" s="4"/>
      <c r="H468" s="4"/>
      <c r="I468" s="4"/>
      <c r="J468" s="4"/>
      <c r="K468" s="4"/>
      <c r="L468" s="4"/>
      <c r="M468" s="4"/>
      <c r="N468" s="4"/>
      <c r="O468" s="4"/>
      <c r="P468" s="4"/>
      <c r="Q468" s="4"/>
      <c r="R468" s="4"/>
      <c r="S468" s="4"/>
      <c r="T468" s="4"/>
      <c r="U468" s="4"/>
      <c r="V468" s="4"/>
      <c r="W468" s="4"/>
      <c r="X468" s="4" t="s">
        <v>47</v>
      </c>
      <c r="Y468" s="4" t="s">
        <v>48</v>
      </c>
      <c r="Z468" s="4" t="s">
        <v>40</v>
      </c>
      <c r="AA468" s="4" t="s">
        <v>2054</v>
      </c>
      <c r="AB468" s="5" t="s">
        <v>2055</v>
      </c>
      <c r="AC468">
        <f>COUNTIF(Sheet1!$A$1:$A$50,Firms!A468)</f>
        <v>0</v>
      </c>
    </row>
    <row r="469" spans="1:29" ht="15" hidden="1" customHeight="1" x14ac:dyDescent="0.45">
      <c r="A469" s="4" t="s">
        <v>2079</v>
      </c>
      <c r="B469" s="4" t="s">
        <v>44</v>
      </c>
      <c r="C469" s="4"/>
      <c r="D469" s="4"/>
      <c r="E469" s="4" t="s">
        <v>2080</v>
      </c>
      <c r="F469" s="4"/>
      <c r="G469" s="4"/>
      <c r="H469" s="4"/>
      <c r="I469" s="4"/>
      <c r="J469" s="4"/>
      <c r="K469" s="4"/>
      <c r="L469" s="4"/>
      <c r="M469" s="4"/>
      <c r="N469" s="4"/>
      <c r="O469" s="4"/>
      <c r="P469" s="4" t="s">
        <v>197</v>
      </c>
      <c r="Q469" s="4"/>
      <c r="R469" s="4"/>
      <c r="S469" s="4"/>
      <c r="T469" s="4"/>
      <c r="U469" s="4" t="s">
        <v>35</v>
      </c>
      <c r="V469" s="4"/>
      <c r="W469" s="4"/>
      <c r="X469" s="4" t="s">
        <v>47</v>
      </c>
      <c r="Y469" s="4" t="s">
        <v>48</v>
      </c>
      <c r="Z469" s="4" t="s">
        <v>40</v>
      </c>
      <c r="AA469" s="4" t="s">
        <v>2054</v>
      </c>
      <c r="AB469" s="5" t="s">
        <v>2055</v>
      </c>
      <c r="AC469">
        <f>COUNTIF(Sheet1!$A$1:$A$50,Firms!A469)</f>
        <v>0</v>
      </c>
    </row>
    <row r="470" spans="1:29" ht="15" hidden="1" customHeight="1" x14ac:dyDescent="0.45">
      <c r="A470" s="4" t="s">
        <v>2081</v>
      </c>
      <c r="B470" s="4" t="s">
        <v>44</v>
      </c>
      <c r="C470" s="4"/>
      <c r="D470" s="4"/>
      <c r="E470" s="4" t="s">
        <v>2082</v>
      </c>
      <c r="F470" s="4"/>
      <c r="G470" s="4"/>
      <c r="H470" s="4"/>
      <c r="I470" s="4"/>
      <c r="J470" s="4"/>
      <c r="K470" s="4"/>
      <c r="L470" s="4"/>
      <c r="M470" s="4"/>
      <c r="N470" s="4"/>
      <c r="O470" s="4"/>
      <c r="P470" s="4" t="s">
        <v>889</v>
      </c>
      <c r="Q470" s="4"/>
      <c r="R470" s="4"/>
      <c r="S470" s="4"/>
      <c r="T470" s="4"/>
      <c r="U470" s="4" t="s">
        <v>35</v>
      </c>
      <c r="V470" s="4"/>
      <c r="W470" s="4"/>
      <c r="X470" s="4" t="s">
        <v>47</v>
      </c>
      <c r="Y470" s="4" t="s">
        <v>48</v>
      </c>
      <c r="Z470" s="4" t="s">
        <v>40</v>
      </c>
      <c r="AA470" s="4" t="s">
        <v>2054</v>
      </c>
      <c r="AB470" s="5" t="s">
        <v>2055</v>
      </c>
      <c r="AC470">
        <f>COUNTIF(Sheet1!$A$1:$A$50,Firms!A470)</f>
        <v>0</v>
      </c>
    </row>
    <row r="471" spans="1:29" ht="15" hidden="1" customHeight="1" x14ac:dyDescent="0.45">
      <c r="A471" s="4" t="s">
        <v>2083</v>
      </c>
      <c r="B471" s="4" t="s">
        <v>44</v>
      </c>
      <c r="C471" s="4"/>
      <c r="D471" s="4"/>
      <c r="E471" s="4" t="s">
        <v>2084</v>
      </c>
      <c r="F471" s="4"/>
      <c r="G471" s="4"/>
      <c r="H471" s="4"/>
      <c r="I471" s="4"/>
      <c r="J471" s="4"/>
      <c r="K471" s="4"/>
      <c r="L471" s="4"/>
      <c r="M471" s="4"/>
      <c r="N471" s="4"/>
      <c r="O471" s="4"/>
      <c r="P471" s="4"/>
      <c r="Q471" s="4"/>
      <c r="R471" s="4"/>
      <c r="S471" s="4"/>
      <c r="T471" s="4"/>
      <c r="U471" s="4" t="s">
        <v>35</v>
      </c>
      <c r="V471" s="4"/>
      <c r="W471" s="4"/>
      <c r="X471" s="4" t="s">
        <v>47</v>
      </c>
      <c r="Y471" s="4" t="s">
        <v>48</v>
      </c>
      <c r="Z471" s="4" t="s">
        <v>40</v>
      </c>
      <c r="AA471" s="4" t="s">
        <v>2054</v>
      </c>
      <c r="AB471" s="5" t="s">
        <v>2055</v>
      </c>
      <c r="AC471">
        <f>COUNTIF(Sheet1!$A$1:$A$50,Firms!A471)</f>
        <v>0</v>
      </c>
    </row>
    <row r="472" spans="1:29" ht="15" hidden="1" customHeight="1" x14ac:dyDescent="0.45">
      <c r="A472" s="4" t="s">
        <v>2085</v>
      </c>
      <c r="B472" s="4" t="s">
        <v>44</v>
      </c>
      <c r="C472" s="4"/>
      <c r="D472" s="4"/>
      <c r="E472" s="4" t="s">
        <v>2086</v>
      </c>
      <c r="F472" s="4"/>
      <c r="G472" s="4"/>
      <c r="H472" s="4"/>
      <c r="I472" s="4"/>
      <c r="J472" s="4"/>
      <c r="K472" s="4"/>
      <c r="L472" s="4"/>
      <c r="M472" s="4"/>
      <c r="N472" s="4"/>
      <c r="O472" s="4"/>
      <c r="P472" s="4"/>
      <c r="Q472" s="4"/>
      <c r="R472" s="4"/>
      <c r="S472" s="4"/>
      <c r="T472" s="4"/>
      <c r="U472" s="4" t="s">
        <v>35</v>
      </c>
      <c r="V472" s="4"/>
      <c r="W472" s="4"/>
      <c r="X472" s="4" t="s">
        <v>47</v>
      </c>
      <c r="Y472" s="4" t="s">
        <v>48</v>
      </c>
      <c r="Z472" s="4" t="s">
        <v>40</v>
      </c>
      <c r="AA472" s="4" t="s">
        <v>2054</v>
      </c>
      <c r="AB472" s="5" t="s">
        <v>2055</v>
      </c>
      <c r="AC472">
        <f>COUNTIF(Sheet1!$A$1:$A$50,Firms!A472)</f>
        <v>0</v>
      </c>
    </row>
    <row r="473" spans="1:29" ht="15" hidden="1" customHeight="1" x14ac:dyDescent="0.45">
      <c r="A473" s="4" t="s">
        <v>2087</v>
      </c>
      <c r="B473" s="4" t="s">
        <v>44</v>
      </c>
      <c r="C473" s="4"/>
      <c r="D473" s="4"/>
      <c r="E473" s="4" t="s">
        <v>2088</v>
      </c>
      <c r="F473" s="4"/>
      <c r="G473" s="4"/>
      <c r="H473" s="4"/>
      <c r="I473" s="4"/>
      <c r="J473" s="4"/>
      <c r="K473" s="4"/>
      <c r="L473" s="4"/>
      <c r="M473" s="4"/>
      <c r="N473" s="4"/>
      <c r="O473" s="4"/>
      <c r="P473" s="4"/>
      <c r="Q473" s="4"/>
      <c r="R473" s="4"/>
      <c r="S473" s="4"/>
      <c r="T473" s="4"/>
      <c r="U473" s="4" t="s">
        <v>35</v>
      </c>
      <c r="V473" s="4"/>
      <c r="W473" s="4"/>
      <c r="X473" s="4" t="s">
        <v>47</v>
      </c>
      <c r="Y473" s="4" t="s">
        <v>48</v>
      </c>
      <c r="Z473" s="4" t="s">
        <v>40</v>
      </c>
      <c r="AA473" s="4" t="s">
        <v>2054</v>
      </c>
      <c r="AB473" s="5" t="s">
        <v>2055</v>
      </c>
      <c r="AC473">
        <f>COUNTIF(Sheet1!$A$1:$A$50,Firms!A473)</f>
        <v>0</v>
      </c>
    </row>
  </sheetData>
  <autoFilter ref="A1:AC473" xr:uid="{00000000-0001-0000-0000-000000000000}">
    <filterColumn colId="28">
      <filters>
        <filter val="1"/>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FD06-C4D0-4BCC-B3C4-9503ABEB6CDA}">
  <dimension ref="A1:Y51"/>
  <sheetViews>
    <sheetView tabSelected="1" workbookViewId="0">
      <selection activeCell="P1" sqref="P1"/>
    </sheetView>
  </sheetViews>
  <sheetFormatPr defaultRowHeight="14.25" x14ac:dyDescent="0.45"/>
  <cols>
    <col min="1" max="1" width="43.1328125" bestFit="1" customWidth="1"/>
    <col min="2" max="2" width="10.19921875" bestFit="1" customWidth="1"/>
    <col min="3" max="3" width="7.6640625" bestFit="1" customWidth="1"/>
    <col min="4" max="4" width="15.1328125" bestFit="1" customWidth="1"/>
    <col min="5" max="5" width="21" customWidth="1"/>
    <col min="6" max="6" width="14.59765625" bestFit="1" customWidth="1"/>
    <col min="7" max="7" width="16.19921875" bestFit="1" customWidth="1"/>
    <col min="8" max="8" width="16.73046875" bestFit="1" customWidth="1"/>
    <col min="9" max="9" width="15.3984375" bestFit="1" customWidth="1"/>
    <col min="10" max="10" width="15.73046875" bestFit="1" customWidth="1"/>
    <col min="11" max="11" width="10.86328125" bestFit="1" customWidth="1"/>
    <col min="12" max="12" width="11.265625" bestFit="1" customWidth="1"/>
    <col min="13" max="13" width="14" bestFit="1" customWidth="1"/>
    <col min="14" max="14" width="14.33203125" bestFit="1" customWidth="1"/>
    <col min="15" max="16" width="34.33203125" bestFit="1" customWidth="1"/>
    <col min="17" max="17" width="9.6640625" bestFit="1" customWidth="1"/>
    <col min="18" max="18" width="7.265625" bestFit="1" customWidth="1"/>
    <col min="19" max="19" width="9.3984375" bestFit="1" customWidth="1"/>
    <col min="20" max="20" width="26.73046875" bestFit="1" customWidth="1"/>
    <col min="21" max="21" width="10.73046875" bestFit="1" customWidth="1"/>
    <col min="22" max="22" width="13.06640625" bestFit="1" customWidth="1"/>
    <col min="23" max="23" width="12.59765625" bestFit="1" customWidth="1"/>
    <col min="24" max="24" width="7.6640625" bestFit="1" customWidth="1"/>
    <col min="25" max="25" width="44.59765625" customWidth="1"/>
  </cols>
  <sheetData>
    <row r="1" spans="1:25" x14ac:dyDescent="0.4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19</v>
      </c>
      <c r="R1" s="13" t="s">
        <v>20</v>
      </c>
      <c r="S1" s="13" t="s">
        <v>21</v>
      </c>
      <c r="T1" s="13" t="s">
        <v>22</v>
      </c>
      <c r="U1" s="13" t="s">
        <v>23</v>
      </c>
      <c r="V1" s="13" t="s">
        <v>24</v>
      </c>
      <c r="W1" s="13" t="s">
        <v>25</v>
      </c>
      <c r="X1" s="13" t="s">
        <v>26</v>
      </c>
      <c r="Y1" s="13" t="s">
        <v>27</v>
      </c>
    </row>
    <row r="2" spans="1:25" x14ac:dyDescent="0.45">
      <c r="A2" s="6" t="s">
        <v>50</v>
      </c>
      <c r="B2" s="6" t="s">
        <v>29</v>
      </c>
      <c r="C2" s="6" t="s">
        <v>51</v>
      </c>
      <c r="D2" s="6" t="s">
        <v>52</v>
      </c>
      <c r="E2" s="6" t="s">
        <v>53</v>
      </c>
      <c r="F2" s="6" t="s">
        <v>31</v>
      </c>
      <c r="G2" s="6"/>
      <c r="H2" s="6"/>
      <c r="I2" s="6" t="s">
        <v>54</v>
      </c>
      <c r="J2" s="6" t="s">
        <v>55</v>
      </c>
      <c r="K2" s="6" t="s">
        <v>56</v>
      </c>
      <c r="L2" s="6" t="s">
        <v>57</v>
      </c>
      <c r="M2" s="6" t="s">
        <v>58</v>
      </c>
      <c r="N2" s="6" t="s">
        <v>59</v>
      </c>
      <c r="O2" s="6" t="s">
        <v>60</v>
      </c>
      <c r="P2" s="6" t="s">
        <v>61</v>
      </c>
      <c r="Q2" s="6" t="s">
        <v>34</v>
      </c>
      <c r="R2" s="6" t="s">
        <v>35</v>
      </c>
      <c r="S2" s="6"/>
      <c r="T2" s="6"/>
      <c r="U2" s="6" t="s">
        <v>63</v>
      </c>
      <c r="V2" s="6" t="s">
        <v>39</v>
      </c>
      <c r="W2" s="6" t="s">
        <v>40</v>
      </c>
      <c r="X2" s="6" t="s">
        <v>41</v>
      </c>
      <c r="Y2" s="14" t="s">
        <v>2101</v>
      </c>
    </row>
    <row r="3" spans="1:25" x14ac:dyDescent="0.45">
      <c r="A3" s="2" t="s">
        <v>77</v>
      </c>
      <c r="B3" s="2" t="s">
        <v>29</v>
      </c>
      <c r="C3" s="2" t="s">
        <v>78</v>
      </c>
      <c r="D3" s="2" t="s">
        <v>79</v>
      </c>
      <c r="E3" s="2" t="s">
        <v>80</v>
      </c>
      <c r="F3" s="2" t="s">
        <v>81</v>
      </c>
      <c r="G3" s="2"/>
      <c r="H3" s="2"/>
      <c r="I3" s="2"/>
      <c r="J3" s="2"/>
      <c r="K3" s="2"/>
      <c r="L3" s="2"/>
      <c r="M3" s="2"/>
      <c r="N3" s="2"/>
      <c r="O3" s="2" t="s">
        <v>82</v>
      </c>
      <c r="P3" s="2" t="s">
        <v>83</v>
      </c>
      <c r="Q3" s="2"/>
      <c r="R3" s="2" t="s">
        <v>35</v>
      </c>
      <c r="S3" s="2" t="s">
        <v>84</v>
      </c>
      <c r="T3" s="2"/>
      <c r="U3" s="2" t="s">
        <v>38</v>
      </c>
      <c r="V3" s="2" t="s">
        <v>39</v>
      </c>
      <c r="W3" s="2" t="s">
        <v>40</v>
      </c>
      <c r="X3" s="2" t="s">
        <v>41</v>
      </c>
      <c r="Y3" s="15" t="s">
        <v>2102</v>
      </c>
    </row>
    <row r="4" spans="1:25" x14ac:dyDescent="0.45">
      <c r="A4" s="6" t="s">
        <v>123</v>
      </c>
      <c r="B4" s="6" t="s">
        <v>29</v>
      </c>
      <c r="C4" s="6"/>
      <c r="D4" s="6"/>
      <c r="E4" s="6" t="s">
        <v>124</v>
      </c>
      <c r="F4" s="6" t="s">
        <v>81</v>
      </c>
      <c r="G4" s="6"/>
      <c r="H4" s="6"/>
      <c r="I4" s="6" t="s">
        <v>125</v>
      </c>
      <c r="J4" s="6" t="s">
        <v>58</v>
      </c>
      <c r="K4" s="6"/>
      <c r="L4" s="6"/>
      <c r="M4" s="6"/>
      <c r="N4" s="6"/>
      <c r="O4" s="6" t="s">
        <v>32</v>
      </c>
      <c r="P4" s="6" t="s">
        <v>88</v>
      </c>
      <c r="Q4" s="6" t="s">
        <v>127</v>
      </c>
      <c r="R4" s="6" t="s">
        <v>35</v>
      </c>
      <c r="S4" s="6" t="s">
        <v>128</v>
      </c>
      <c r="T4" s="6" t="s">
        <v>129</v>
      </c>
      <c r="U4" s="6" t="s">
        <v>63</v>
      </c>
      <c r="V4" s="6" t="s">
        <v>39</v>
      </c>
      <c r="W4" s="6" t="s">
        <v>40</v>
      </c>
      <c r="X4" s="6" t="s">
        <v>41</v>
      </c>
      <c r="Y4" s="14" t="s">
        <v>2103</v>
      </c>
    </row>
    <row r="5" spans="1:25" x14ac:dyDescent="0.45">
      <c r="A5" s="6" t="s">
        <v>131</v>
      </c>
      <c r="B5" s="6" t="s">
        <v>29</v>
      </c>
      <c r="C5" s="6" t="s">
        <v>132</v>
      </c>
      <c r="D5" s="6" t="s">
        <v>133</v>
      </c>
      <c r="E5" s="6" t="s">
        <v>134</v>
      </c>
      <c r="F5" s="6" t="s">
        <v>31</v>
      </c>
      <c r="G5" s="6"/>
      <c r="H5" s="6"/>
      <c r="I5" s="6" t="s">
        <v>135</v>
      </c>
      <c r="J5" s="6" t="s">
        <v>54</v>
      </c>
      <c r="K5" s="6"/>
      <c r="L5" s="6" t="s">
        <v>136</v>
      </c>
      <c r="M5" s="6" t="s">
        <v>137</v>
      </c>
      <c r="N5" s="6" t="s">
        <v>138</v>
      </c>
      <c r="O5" s="6" t="s">
        <v>32</v>
      </c>
      <c r="P5" s="6" t="s">
        <v>139</v>
      </c>
      <c r="Q5" s="6" t="s">
        <v>140</v>
      </c>
      <c r="R5" s="6" t="s">
        <v>35</v>
      </c>
      <c r="S5" s="6" t="s">
        <v>141</v>
      </c>
      <c r="T5" s="6"/>
      <c r="U5" s="6" t="s">
        <v>63</v>
      </c>
      <c r="V5" s="6" t="s">
        <v>39</v>
      </c>
      <c r="W5" s="6" t="s">
        <v>40</v>
      </c>
      <c r="X5" s="6" t="s">
        <v>41</v>
      </c>
      <c r="Y5" s="14" t="s">
        <v>2104</v>
      </c>
    </row>
    <row r="6" spans="1:25" x14ac:dyDescent="0.45">
      <c r="A6" s="6" t="s">
        <v>161</v>
      </c>
      <c r="B6" s="6" t="s">
        <v>29</v>
      </c>
      <c r="C6" s="6" t="s">
        <v>162</v>
      </c>
      <c r="D6" s="6" t="s">
        <v>163</v>
      </c>
      <c r="E6" s="6" t="s">
        <v>164</v>
      </c>
      <c r="F6" s="6" t="s">
        <v>81</v>
      </c>
      <c r="G6" s="6"/>
      <c r="H6" s="6"/>
      <c r="I6" s="6" t="s">
        <v>165</v>
      </c>
      <c r="J6" s="6" t="s">
        <v>137</v>
      </c>
      <c r="K6" s="6" t="s">
        <v>137</v>
      </c>
      <c r="L6" s="6" t="s">
        <v>166</v>
      </c>
      <c r="M6" s="6" t="s">
        <v>137</v>
      </c>
      <c r="N6" s="6" t="s">
        <v>56</v>
      </c>
      <c r="O6" s="6" t="s">
        <v>32</v>
      </c>
      <c r="P6" s="6" t="s">
        <v>167</v>
      </c>
      <c r="Q6" s="6" t="s">
        <v>168</v>
      </c>
      <c r="R6" s="6" t="s">
        <v>35</v>
      </c>
      <c r="S6" s="6"/>
      <c r="T6" s="6"/>
      <c r="U6" s="6" t="s">
        <v>63</v>
      </c>
      <c r="V6" s="6" t="s">
        <v>39</v>
      </c>
      <c r="W6" s="6" t="s">
        <v>40</v>
      </c>
      <c r="X6" s="6" t="s">
        <v>41</v>
      </c>
      <c r="Y6" s="14" t="s">
        <v>2105</v>
      </c>
    </row>
    <row r="7" spans="1:25" x14ac:dyDescent="0.45">
      <c r="A7" s="6" t="s">
        <v>170</v>
      </c>
      <c r="B7" s="6" t="s">
        <v>29</v>
      </c>
      <c r="C7" s="6" t="s">
        <v>101</v>
      </c>
      <c r="D7" s="6" t="s">
        <v>151</v>
      </c>
      <c r="E7" s="6" t="s">
        <v>171</v>
      </c>
      <c r="F7" s="6" t="s">
        <v>31</v>
      </c>
      <c r="G7" s="6"/>
      <c r="H7" s="6"/>
      <c r="I7" s="6" t="s">
        <v>172</v>
      </c>
      <c r="J7" s="6" t="s">
        <v>173</v>
      </c>
      <c r="K7" s="6"/>
      <c r="L7" s="6" t="s">
        <v>174</v>
      </c>
      <c r="M7" s="6"/>
      <c r="N7" s="6" t="s">
        <v>136</v>
      </c>
      <c r="O7" s="6" t="s">
        <v>32</v>
      </c>
      <c r="P7" s="6" t="s">
        <v>111</v>
      </c>
      <c r="Q7" s="6" t="s">
        <v>175</v>
      </c>
      <c r="R7" s="6" t="s">
        <v>35</v>
      </c>
      <c r="S7" s="6" t="s">
        <v>176</v>
      </c>
      <c r="T7" s="6"/>
      <c r="U7" s="6" t="s">
        <v>63</v>
      </c>
      <c r="V7" s="6" t="s">
        <v>39</v>
      </c>
      <c r="W7" s="6" t="s">
        <v>40</v>
      </c>
      <c r="X7" s="6" t="s">
        <v>41</v>
      </c>
      <c r="Y7" s="14" t="s">
        <v>2106</v>
      </c>
    </row>
    <row r="8" spans="1:25" x14ac:dyDescent="0.45">
      <c r="A8" s="2" t="s">
        <v>184</v>
      </c>
      <c r="B8" s="2" t="s">
        <v>29</v>
      </c>
      <c r="C8" s="2"/>
      <c r="D8" s="2"/>
      <c r="E8" s="2" t="s">
        <v>185</v>
      </c>
      <c r="F8" s="2" t="s">
        <v>81</v>
      </c>
      <c r="G8" s="2"/>
      <c r="H8" s="2"/>
      <c r="I8" s="2"/>
      <c r="J8" s="2"/>
      <c r="K8" s="2"/>
      <c r="L8" s="2"/>
      <c r="M8" s="2"/>
      <c r="N8" s="2"/>
      <c r="O8" s="2" t="s">
        <v>32</v>
      </c>
      <c r="P8" s="2" t="s">
        <v>186</v>
      </c>
      <c r="Q8" s="2" t="s">
        <v>187</v>
      </c>
      <c r="R8" s="2" t="s">
        <v>35</v>
      </c>
      <c r="S8" s="2" t="s">
        <v>188</v>
      </c>
      <c r="T8" s="2"/>
      <c r="U8" s="2" t="s">
        <v>38</v>
      </c>
      <c r="V8" s="2" t="s">
        <v>39</v>
      </c>
      <c r="W8" s="2" t="s">
        <v>40</v>
      </c>
      <c r="X8" s="2" t="s">
        <v>41</v>
      </c>
      <c r="Y8" s="15" t="s">
        <v>2107</v>
      </c>
    </row>
    <row r="9" spans="1:25" x14ac:dyDescent="0.45">
      <c r="A9" s="6" t="s">
        <v>256</v>
      </c>
      <c r="B9" s="6" t="s">
        <v>29</v>
      </c>
      <c r="C9" s="6"/>
      <c r="D9" s="6"/>
      <c r="E9" s="6" t="s">
        <v>257</v>
      </c>
      <c r="F9" s="6" t="s">
        <v>31</v>
      </c>
      <c r="G9" s="6"/>
      <c r="H9" s="6"/>
      <c r="I9" s="6" t="s">
        <v>69</v>
      </c>
      <c r="J9" s="6" t="s">
        <v>55</v>
      </c>
      <c r="K9" s="6"/>
      <c r="L9" s="6" t="s">
        <v>258</v>
      </c>
      <c r="M9" s="6"/>
      <c r="N9" s="6"/>
      <c r="O9" s="6" t="s">
        <v>32</v>
      </c>
      <c r="P9" s="6" t="s">
        <v>259</v>
      </c>
      <c r="Q9" s="6" t="s">
        <v>261</v>
      </c>
      <c r="R9" s="6" t="s">
        <v>35</v>
      </c>
      <c r="S9" s="6"/>
      <c r="T9" s="6"/>
      <c r="U9" s="6" t="s">
        <v>63</v>
      </c>
      <c r="V9" s="6" t="s">
        <v>39</v>
      </c>
      <c r="W9" s="6" t="s">
        <v>40</v>
      </c>
      <c r="X9" s="6" t="s">
        <v>41</v>
      </c>
      <c r="Y9" s="14" t="s">
        <v>2108</v>
      </c>
    </row>
    <row r="10" spans="1:25" x14ac:dyDescent="0.45">
      <c r="A10" s="6" t="s">
        <v>271</v>
      </c>
      <c r="B10" s="6" t="s">
        <v>29</v>
      </c>
      <c r="C10" s="6" t="s">
        <v>272</v>
      </c>
      <c r="D10" s="6" t="s">
        <v>273</v>
      </c>
      <c r="E10" s="6" t="s">
        <v>274</v>
      </c>
      <c r="F10" s="6" t="s">
        <v>31</v>
      </c>
      <c r="G10" s="6"/>
      <c r="H10" s="6"/>
      <c r="I10" s="6" t="s">
        <v>125</v>
      </c>
      <c r="J10" s="6" t="s">
        <v>137</v>
      </c>
      <c r="K10" s="6"/>
      <c r="L10" s="6"/>
      <c r="M10" s="6" t="s">
        <v>69</v>
      </c>
      <c r="N10" s="6" t="s">
        <v>110</v>
      </c>
      <c r="O10" s="6" t="s">
        <v>32</v>
      </c>
      <c r="P10" s="6" t="s">
        <v>73</v>
      </c>
      <c r="Q10" s="6"/>
      <c r="R10" s="6" t="s">
        <v>35</v>
      </c>
      <c r="S10" s="6"/>
      <c r="T10" s="6"/>
      <c r="U10" s="6" t="s">
        <v>63</v>
      </c>
      <c r="V10" s="6" t="s">
        <v>39</v>
      </c>
      <c r="W10" s="6" t="s">
        <v>40</v>
      </c>
      <c r="X10" s="6" t="s">
        <v>41</v>
      </c>
      <c r="Y10" s="14" t="s">
        <v>2109</v>
      </c>
    </row>
    <row r="11" spans="1:25" x14ac:dyDescent="0.45">
      <c r="A11" s="6" t="s">
        <v>276</v>
      </c>
      <c r="B11" s="6" t="s">
        <v>29</v>
      </c>
      <c r="C11" s="6"/>
      <c r="D11" s="6" t="s">
        <v>277</v>
      </c>
      <c r="E11" s="6" t="s">
        <v>278</v>
      </c>
      <c r="F11" s="6" t="s">
        <v>31</v>
      </c>
      <c r="G11" s="6" t="s">
        <v>54</v>
      </c>
      <c r="H11" s="6" t="s">
        <v>59</v>
      </c>
      <c r="I11" s="6" t="s">
        <v>135</v>
      </c>
      <c r="J11" s="6"/>
      <c r="K11" s="6" t="s">
        <v>54</v>
      </c>
      <c r="L11" s="6" t="s">
        <v>136</v>
      </c>
      <c r="M11" s="6" t="s">
        <v>192</v>
      </c>
      <c r="N11" s="6" t="s">
        <v>70</v>
      </c>
      <c r="O11" s="6" t="s">
        <v>32</v>
      </c>
      <c r="P11" s="6" t="s">
        <v>279</v>
      </c>
      <c r="Q11" s="6"/>
      <c r="R11" s="6" t="s">
        <v>35</v>
      </c>
      <c r="S11" s="6"/>
      <c r="T11" s="6"/>
      <c r="U11" s="6" t="s">
        <v>63</v>
      </c>
      <c r="V11" s="6" t="s">
        <v>39</v>
      </c>
      <c r="W11" s="6" t="s">
        <v>40</v>
      </c>
      <c r="X11" s="6" t="s">
        <v>41</v>
      </c>
      <c r="Y11" s="14" t="s">
        <v>2110</v>
      </c>
    </row>
    <row r="12" spans="1:25" x14ac:dyDescent="0.45">
      <c r="A12" s="2" t="s">
        <v>311</v>
      </c>
      <c r="B12" s="2" t="s">
        <v>29</v>
      </c>
      <c r="C12" s="2" t="s">
        <v>234</v>
      </c>
      <c r="D12" s="2" t="s">
        <v>235</v>
      </c>
      <c r="E12" s="2" t="s">
        <v>312</v>
      </c>
      <c r="F12" s="2" t="s">
        <v>81</v>
      </c>
      <c r="G12" s="2"/>
      <c r="H12" s="2"/>
      <c r="I12" s="2"/>
      <c r="J12" s="2"/>
      <c r="K12" s="2"/>
      <c r="L12" s="2"/>
      <c r="M12" s="2"/>
      <c r="N12" s="2"/>
      <c r="O12" s="2" t="s">
        <v>313</v>
      </c>
      <c r="P12" s="2" t="s">
        <v>73</v>
      </c>
      <c r="Q12" s="2" t="s">
        <v>314</v>
      </c>
      <c r="R12" s="2" t="s">
        <v>35</v>
      </c>
      <c r="S12" s="2" t="s">
        <v>40</v>
      </c>
      <c r="T12" s="2"/>
      <c r="U12" s="2" t="s">
        <v>38</v>
      </c>
      <c r="V12" s="2" t="s">
        <v>39</v>
      </c>
      <c r="W12" s="2" t="s">
        <v>40</v>
      </c>
      <c r="X12" s="2" t="s">
        <v>41</v>
      </c>
      <c r="Y12" s="15" t="s">
        <v>2111</v>
      </c>
    </row>
    <row r="13" spans="1:25" x14ac:dyDescent="0.45">
      <c r="A13" s="6" t="s">
        <v>321</v>
      </c>
      <c r="B13" s="6" t="s">
        <v>29</v>
      </c>
      <c r="C13" s="6" t="s">
        <v>101</v>
      </c>
      <c r="D13" s="6" t="s">
        <v>151</v>
      </c>
      <c r="E13" s="6" t="s">
        <v>322</v>
      </c>
      <c r="F13" s="6" t="s">
        <v>81</v>
      </c>
      <c r="G13" s="6" t="s">
        <v>110</v>
      </c>
      <c r="H13" s="6" t="s">
        <v>323</v>
      </c>
      <c r="I13" s="6"/>
      <c r="J13" s="6"/>
      <c r="K13" s="6"/>
      <c r="L13" s="6"/>
      <c r="M13" s="6" t="s">
        <v>192</v>
      </c>
      <c r="N13" s="6" t="s">
        <v>55</v>
      </c>
      <c r="O13" s="6" t="s">
        <v>72</v>
      </c>
      <c r="P13" s="6" t="s">
        <v>253</v>
      </c>
      <c r="Q13" s="6" t="s">
        <v>324</v>
      </c>
      <c r="R13" s="6" t="s">
        <v>35</v>
      </c>
      <c r="S13" s="6" t="s">
        <v>325</v>
      </c>
      <c r="T13" s="6"/>
      <c r="U13" s="6" t="s">
        <v>63</v>
      </c>
      <c r="V13" s="6" t="s">
        <v>39</v>
      </c>
      <c r="W13" s="6" t="s">
        <v>40</v>
      </c>
      <c r="X13" s="6" t="s">
        <v>41</v>
      </c>
      <c r="Y13" s="14" t="s">
        <v>2112</v>
      </c>
    </row>
    <row r="14" spans="1:25" x14ac:dyDescent="0.45">
      <c r="A14" s="2" t="s">
        <v>382</v>
      </c>
      <c r="B14" s="2" t="s">
        <v>29</v>
      </c>
      <c r="C14" s="2"/>
      <c r="D14" s="2"/>
      <c r="E14" s="2" t="s">
        <v>383</v>
      </c>
      <c r="F14" s="2"/>
      <c r="G14" s="2"/>
      <c r="H14" s="2"/>
      <c r="I14" s="2"/>
      <c r="J14" s="2"/>
      <c r="K14" s="2"/>
      <c r="L14" s="2"/>
      <c r="M14" s="2"/>
      <c r="N14" s="2"/>
      <c r="O14" s="2" t="s">
        <v>32</v>
      </c>
      <c r="P14" s="2" t="s">
        <v>384</v>
      </c>
      <c r="Q14" s="2" t="s">
        <v>385</v>
      </c>
      <c r="R14" s="2" t="s">
        <v>35</v>
      </c>
      <c r="S14" s="2"/>
      <c r="T14" s="2"/>
      <c r="U14" s="2" t="s">
        <v>38</v>
      </c>
      <c r="V14" s="2" t="s">
        <v>39</v>
      </c>
      <c r="W14" s="2" t="s">
        <v>40</v>
      </c>
      <c r="X14" s="2" t="s">
        <v>41</v>
      </c>
      <c r="Y14" s="15" t="s">
        <v>2113</v>
      </c>
    </row>
    <row r="15" spans="1:25" x14ac:dyDescent="0.45">
      <c r="A15" s="6" t="s">
        <v>387</v>
      </c>
      <c r="B15" s="6" t="s">
        <v>29</v>
      </c>
      <c r="C15" s="6" t="s">
        <v>132</v>
      </c>
      <c r="D15" s="6" t="s">
        <v>388</v>
      </c>
      <c r="E15" s="6" t="s">
        <v>389</v>
      </c>
      <c r="F15" s="6" t="s">
        <v>81</v>
      </c>
      <c r="G15" s="6"/>
      <c r="H15" s="6"/>
      <c r="I15" s="6" t="s">
        <v>69</v>
      </c>
      <c r="J15" s="6" t="s">
        <v>58</v>
      </c>
      <c r="K15" s="6"/>
      <c r="L15" s="6"/>
      <c r="M15" s="6" t="s">
        <v>58</v>
      </c>
      <c r="N15" s="6" t="s">
        <v>138</v>
      </c>
      <c r="O15" s="6" t="s">
        <v>390</v>
      </c>
      <c r="P15" s="6" t="s">
        <v>111</v>
      </c>
      <c r="Q15" s="6" t="s">
        <v>258</v>
      </c>
      <c r="R15" s="6" t="s">
        <v>35</v>
      </c>
      <c r="S15" s="6" t="s">
        <v>391</v>
      </c>
      <c r="T15" s="6" t="s">
        <v>392</v>
      </c>
      <c r="U15" s="6" t="s">
        <v>63</v>
      </c>
      <c r="V15" s="6" t="s">
        <v>39</v>
      </c>
      <c r="W15" s="6" t="s">
        <v>40</v>
      </c>
      <c r="X15" s="6" t="s">
        <v>41</v>
      </c>
      <c r="Y15" s="14" t="s">
        <v>2114</v>
      </c>
    </row>
    <row r="16" spans="1:25" x14ac:dyDescent="0.45">
      <c r="A16" s="6" t="s">
        <v>408</v>
      </c>
      <c r="B16" s="6" t="s">
        <v>29</v>
      </c>
      <c r="C16" s="6" t="s">
        <v>272</v>
      </c>
      <c r="D16" s="6" t="s">
        <v>273</v>
      </c>
      <c r="E16" s="6" t="s">
        <v>409</v>
      </c>
      <c r="F16" s="6" t="s">
        <v>31</v>
      </c>
      <c r="G16" s="6" t="s">
        <v>192</v>
      </c>
      <c r="H16" s="6" t="s">
        <v>56</v>
      </c>
      <c r="I16" s="6" t="s">
        <v>125</v>
      </c>
      <c r="J16" s="6" t="s">
        <v>192</v>
      </c>
      <c r="K16" s="6" t="s">
        <v>54</v>
      </c>
      <c r="L16" s="6" t="s">
        <v>55</v>
      </c>
      <c r="M16" s="6" t="s">
        <v>69</v>
      </c>
      <c r="N16" s="6" t="s">
        <v>110</v>
      </c>
      <c r="O16" s="6" t="s">
        <v>72</v>
      </c>
      <c r="P16" s="6" t="s">
        <v>410</v>
      </c>
      <c r="Q16" s="6"/>
      <c r="R16" s="6" t="s">
        <v>35</v>
      </c>
      <c r="S16" s="6"/>
      <c r="T16" s="6"/>
      <c r="U16" s="6" t="s">
        <v>63</v>
      </c>
      <c r="V16" s="6" t="s">
        <v>39</v>
      </c>
      <c r="W16" s="6" t="s">
        <v>414</v>
      </c>
      <c r="X16" s="6" t="s">
        <v>41</v>
      </c>
      <c r="Y16" s="14" t="s">
        <v>2115</v>
      </c>
    </row>
    <row r="17" spans="1:25" x14ac:dyDescent="0.45">
      <c r="A17" s="6" t="s">
        <v>452</v>
      </c>
      <c r="B17" s="6" t="s">
        <v>291</v>
      </c>
      <c r="C17" s="6" t="s">
        <v>453</v>
      </c>
      <c r="D17" s="6" t="s">
        <v>454</v>
      </c>
      <c r="E17" s="6" t="s">
        <v>455</v>
      </c>
      <c r="F17" s="6" t="s">
        <v>31</v>
      </c>
      <c r="G17" s="6" t="s">
        <v>55</v>
      </c>
      <c r="H17" s="6"/>
      <c r="I17" s="6" t="s">
        <v>137</v>
      </c>
      <c r="J17" s="6" t="s">
        <v>70</v>
      </c>
      <c r="K17" s="6" t="s">
        <v>136</v>
      </c>
      <c r="L17" s="6" t="s">
        <v>456</v>
      </c>
      <c r="M17" s="6"/>
      <c r="N17" s="6"/>
      <c r="O17" s="6" t="s">
        <v>32</v>
      </c>
      <c r="P17" s="6" t="s">
        <v>457</v>
      </c>
      <c r="Q17" s="6"/>
      <c r="R17" s="6"/>
      <c r="S17" s="6"/>
      <c r="T17" s="6"/>
      <c r="U17" s="6" t="s">
        <v>63</v>
      </c>
      <c r="V17" s="6" t="s">
        <v>39</v>
      </c>
      <c r="W17" s="6" t="s">
        <v>40</v>
      </c>
      <c r="X17" s="6" t="s">
        <v>41</v>
      </c>
      <c r="Y17" s="14" t="s">
        <v>2116</v>
      </c>
    </row>
    <row r="18" spans="1:25" x14ac:dyDescent="0.45">
      <c r="A18" s="2" t="s">
        <v>492</v>
      </c>
      <c r="B18" s="2" t="s">
        <v>29</v>
      </c>
      <c r="C18" s="2"/>
      <c r="D18" s="2"/>
      <c r="E18" s="2" t="s">
        <v>493</v>
      </c>
      <c r="F18" s="2" t="s">
        <v>81</v>
      </c>
      <c r="G18" s="2"/>
      <c r="H18" s="2"/>
      <c r="I18" s="2"/>
      <c r="J18" s="2"/>
      <c r="K18" s="2"/>
      <c r="L18" s="2"/>
      <c r="M18" s="2"/>
      <c r="N18" s="2"/>
      <c r="O18" s="2" t="s">
        <v>32</v>
      </c>
      <c r="P18" s="2" t="s">
        <v>494</v>
      </c>
      <c r="Q18" s="2" t="s">
        <v>495</v>
      </c>
      <c r="R18" s="2" t="s">
        <v>35</v>
      </c>
      <c r="S18" s="2"/>
      <c r="T18" s="2"/>
      <c r="U18" s="2" t="s">
        <v>38</v>
      </c>
      <c r="V18" s="2" t="s">
        <v>39</v>
      </c>
      <c r="W18" s="2" t="s">
        <v>40</v>
      </c>
      <c r="X18" s="2" t="s">
        <v>41</v>
      </c>
      <c r="Y18" s="15" t="s">
        <v>2117</v>
      </c>
    </row>
    <row r="19" spans="1:25" x14ac:dyDescent="0.45">
      <c r="A19" s="6" t="s">
        <v>570</v>
      </c>
      <c r="B19" s="6" t="s">
        <v>29</v>
      </c>
      <c r="C19" s="6" t="s">
        <v>132</v>
      </c>
      <c r="D19" s="6" t="s">
        <v>388</v>
      </c>
      <c r="E19" s="6" t="s">
        <v>571</v>
      </c>
      <c r="F19" s="6" t="s">
        <v>31</v>
      </c>
      <c r="G19" s="6"/>
      <c r="H19" s="6"/>
      <c r="I19" s="6" t="s">
        <v>69</v>
      </c>
      <c r="J19" s="6" t="s">
        <v>137</v>
      </c>
      <c r="K19" s="6"/>
      <c r="L19" s="6" t="s">
        <v>572</v>
      </c>
      <c r="M19" s="6"/>
      <c r="N19" s="6"/>
      <c r="O19" s="6" t="s">
        <v>32</v>
      </c>
      <c r="P19" s="6" t="s">
        <v>279</v>
      </c>
      <c r="Q19" s="6"/>
      <c r="R19" s="6" t="s">
        <v>35</v>
      </c>
      <c r="S19" s="6"/>
      <c r="T19" s="6"/>
      <c r="U19" s="6" t="s">
        <v>63</v>
      </c>
      <c r="V19" s="6" t="s">
        <v>39</v>
      </c>
      <c r="W19" s="6" t="s">
        <v>40</v>
      </c>
      <c r="X19" s="6" t="s">
        <v>41</v>
      </c>
      <c r="Y19" s="14" t="s">
        <v>2118</v>
      </c>
    </row>
    <row r="20" spans="1:25" x14ac:dyDescent="0.45">
      <c r="A20" s="2" t="s">
        <v>584</v>
      </c>
      <c r="B20" s="2" t="s">
        <v>29</v>
      </c>
      <c r="C20" s="2"/>
      <c r="D20" s="2"/>
      <c r="E20" s="2" t="s">
        <v>585</v>
      </c>
      <c r="F20" s="2" t="s">
        <v>31</v>
      </c>
      <c r="G20" s="2"/>
      <c r="H20" s="2"/>
      <c r="I20" s="2"/>
      <c r="J20" s="2"/>
      <c r="K20" s="2"/>
      <c r="L20" s="2"/>
      <c r="M20" s="2"/>
      <c r="N20" s="2"/>
      <c r="O20" s="2" t="s">
        <v>32</v>
      </c>
      <c r="P20" s="2" t="s">
        <v>494</v>
      </c>
      <c r="Q20" s="2" t="s">
        <v>586</v>
      </c>
      <c r="R20" s="2" t="s">
        <v>35</v>
      </c>
      <c r="S20" s="2"/>
      <c r="T20" s="2"/>
      <c r="U20" s="2" t="s">
        <v>38</v>
      </c>
      <c r="V20" s="2" t="s">
        <v>39</v>
      </c>
      <c r="W20" s="2" t="s">
        <v>40</v>
      </c>
      <c r="X20" s="2" t="s">
        <v>41</v>
      </c>
      <c r="Y20" s="15" t="s">
        <v>2119</v>
      </c>
    </row>
    <row r="21" spans="1:25" x14ac:dyDescent="0.45">
      <c r="A21" s="6" t="s">
        <v>608</v>
      </c>
      <c r="B21" s="6" t="s">
        <v>29</v>
      </c>
      <c r="C21" s="6" t="s">
        <v>609</v>
      </c>
      <c r="D21" s="6" t="s">
        <v>610</v>
      </c>
      <c r="E21" s="6" t="s">
        <v>611</v>
      </c>
      <c r="F21" s="6" t="s">
        <v>31</v>
      </c>
      <c r="G21" s="6" t="s">
        <v>192</v>
      </c>
      <c r="H21" s="6" t="s">
        <v>70</v>
      </c>
      <c r="I21" s="6" t="s">
        <v>125</v>
      </c>
      <c r="J21" s="6" t="s">
        <v>165</v>
      </c>
      <c r="K21" s="6"/>
      <c r="L21" s="6"/>
      <c r="M21" s="6"/>
      <c r="N21" s="6"/>
      <c r="O21" s="6" t="s">
        <v>32</v>
      </c>
      <c r="P21" s="6" t="s">
        <v>111</v>
      </c>
      <c r="Q21" s="6"/>
      <c r="R21" s="6" t="s">
        <v>35</v>
      </c>
      <c r="S21" s="6" t="s">
        <v>612</v>
      </c>
      <c r="T21" s="6"/>
      <c r="U21" s="6" t="s">
        <v>63</v>
      </c>
      <c r="V21" s="6" t="s">
        <v>39</v>
      </c>
      <c r="W21" s="6" t="s">
        <v>40</v>
      </c>
      <c r="X21" s="6" t="s">
        <v>41</v>
      </c>
      <c r="Y21" s="14" t="s">
        <v>2120</v>
      </c>
    </row>
    <row r="22" spans="1:25" x14ac:dyDescent="0.45">
      <c r="A22" s="6" t="s">
        <v>637</v>
      </c>
      <c r="B22" s="6" t="s">
        <v>291</v>
      </c>
      <c r="C22" s="6"/>
      <c r="D22" s="6"/>
      <c r="E22" s="6" t="s">
        <v>638</v>
      </c>
      <c r="F22" s="6" t="s">
        <v>31</v>
      </c>
      <c r="G22" s="6" t="s">
        <v>125</v>
      </c>
      <c r="H22" s="6" t="s">
        <v>58</v>
      </c>
      <c r="I22" s="6"/>
      <c r="J22" s="6"/>
      <c r="K22" s="6"/>
      <c r="L22" s="6"/>
      <c r="M22" s="6" t="s">
        <v>69</v>
      </c>
      <c r="N22" s="6" t="s">
        <v>56</v>
      </c>
      <c r="O22" s="6" t="s">
        <v>576</v>
      </c>
      <c r="P22" s="6" t="s">
        <v>73</v>
      </c>
      <c r="Q22" s="6"/>
      <c r="R22" s="6" t="s">
        <v>35</v>
      </c>
      <c r="S22" s="6"/>
      <c r="T22" s="6"/>
      <c r="U22" s="6" t="s">
        <v>63</v>
      </c>
      <c r="V22" s="6" t="s">
        <v>39</v>
      </c>
      <c r="W22" s="6" t="s">
        <v>40</v>
      </c>
      <c r="X22" s="6" t="s">
        <v>41</v>
      </c>
      <c r="Y22" s="14" t="s">
        <v>2121</v>
      </c>
    </row>
    <row r="23" spans="1:25" x14ac:dyDescent="0.45">
      <c r="A23" s="6" t="s">
        <v>640</v>
      </c>
      <c r="B23" s="6" t="s">
        <v>29</v>
      </c>
      <c r="C23" s="6" t="s">
        <v>132</v>
      </c>
      <c r="D23" s="6" t="s">
        <v>388</v>
      </c>
      <c r="E23" s="6" t="s">
        <v>641</v>
      </c>
      <c r="F23" s="6" t="s">
        <v>31</v>
      </c>
      <c r="G23" s="6"/>
      <c r="H23" s="6"/>
      <c r="I23" s="6" t="s">
        <v>69</v>
      </c>
      <c r="J23" s="6" t="s">
        <v>54</v>
      </c>
      <c r="K23" s="6"/>
      <c r="L23" s="6"/>
      <c r="M23" s="6"/>
      <c r="N23" s="6"/>
      <c r="O23" s="6" t="s">
        <v>82</v>
      </c>
      <c r="P23" s="6" t="s">
        <v>111</v>
      </c>
      <c r="Q23" s="6" t="s">
        <v>642</v>
      </c>
      <c r="R23" s="6" t="s">
        <v>35</v>
      </c>
      <c r="S23" s="6" t="s">
        <v>643</v>
      </c>
      <c r="T23" s="6"/>
      <c r="U23" s="6" t="s">
        <v>63</v>
      </c>
      <c r="V23" s="6" t="s">
        <v>39</v>
      </c>
      <c r="W23" s="6" t="s">
        <v>40</v>
      </c>
      <c r="X23" s="6" t="s">
        <v>41</v>
      </c>
      <c r="Y23" s="14" t="s">
        <v>2122</v>
      </c>
    </row>
    <row r="24" spans="1:25" x14ac:dyDescent="0.45">
      <c r="A24" s="6" t="s">
        <v>677</v>
      </c>
      <c r="B24" s="6" t="s">
        <v>29</v>
      </c>
      <c r="C24" s="6" t="s">
        <v>272</v>
      </c>
      <c r="D24" s="6" t="s">
        <v>273</v>
      </c>
      <c r="E24" s="6" t="s">
        <v>678</v>
      </c>
      <c r="F24" s="6" t="s">
        <v>31</v>
      </c>
      <c r="G24" s="6" t="s">
        <v>192</v>
      </c>
      <c r="H24" s="6" t="s">
        <v>56</v>
      </c>
      <c r="I24" s="6" t="s">
        <v>125</v>
      </c>
      <c r="J24" s="6" t="s">
        <v>192</v>
      </c>
      <c r="K24" s="6" t="s">
        <v>54</v>
      </c>
      <c r="L24" s="6" t="s">
        <v>55</v>
      </c>
      <c r="M24" s="6" t="s">
        <v>69</v>
      </c>
      <c r="N24" s="6" t="s">
        <v>110</v>
      </c>
      <c r="O24" s="6" t="s">
        <v>72</v>
      </c>
      <c r="P24" s="6" t="s">
        <v>410</v>
      </c>
      <c r="Q24" s="6"/>
      <c r="R24" s="6" t="s">
        <v>35</v>
      </c>
      <c r="S24" s="6"/>
      <c r="T24" s="6"/>
      <c r="U24" s="6" t="s">
        <v>63</v>
      </c>
      <c r="V24" s="6" t="s">
        <v>39</v>
      </c>
      <c r="W24" s="6" t="s">
        <v>414</v>
      </c>
      <c r="X24" s="6" t="s">
        <v>41</v>
      </c>
      <c r="Y24" s="14" t="s">
        <v>2115</v>
      </c>
    </row>
    <row r="25" spans="1:25" x14ac:dyDescent="0.45">
      <c r="A25" s="2" t="s">
        <v>789</v>
      </c>
      <c r="B25" s="2" t="s">
        <v>29</v>
      </c>
      <c r="C25" s="2" t="s">
        <v>101</v>
      </c>
      <c r="D25" s="2" t="s">
        <v>557</v>
      </c>
      <c r="E25" s="2" t="s">
        <v>790</v>
      </c>
      <c r="F25" s="2" t="s">
        <v>31</v>
      </c>
      <c r="G25" s="2"/>
      <c r="H25" s="2"/>
      <c r="I25" s="2"/>
      <c r="J25" s="2"/>
      <c r="K25" s="2"/>
      <c r="L25" s="2"/>
      <c r="M25" s="2"/>
      <c r="N25" s="2"/>
      <c r="O25" s="2" t="s">
        <v>193</v>
      </c>
      <c r="P25" s="2" t="s">
        <v>105</v>
      </c>
      <c r="Q25" s="2" t="s">
        <v>791</v>
      </c>
      <c r="R25" s="2" t="s">
        <v>35</v>
      </c>
      <c r="S25" s="2"/>
      <c r="T25" s="2"/>
      <c r="U25" s="2" t="s">
        <v>38</v>
      </c>
      <c r="V25" s="2" t="s">
        <v>39</v>
      </c>
      <c r="W25" s="2" t="s">
        <v>40</v>
      </c>
      <c r="X25" s="2" t="s">
        <v>41</v>
      </c>
      <c r="Y25" s="15" t="s">
        <v>2123</v>
      </c>
    </row>
    <row r="26" spans="1:25" x14ac:dyDescent="0.45">
      <c r="A26" s="6" t="s">
        <v>822</v>
      </c>
      <c r="B26" s="6" t="s">
        <v>29</v>
      </c>
      <c r="C26" s="6" t="s">
        <v>51</v>
      </c>
      <c r="D26" s="6" t="s">
        <v>52</v>
      </c>
      <c r="E26" s="6" t="s">
        <v>823</v>
      </c>
      <c r="F26" s="6" t="s">
        <v>81</v>
      </c>
      <c r="G26" s="6"/>
      <c r="H26" s="6"/>
      <c r="I26" s="6" t="s">
        <v>137</v>
      </c>
      <c r="J26" s="6"/>
      <c r="K26" s="6"/>
      <c r="L26" s="6"/>
      <c r="M26" s="6" t="s">
        <v>55</v>
      </c>
      <c r="N26" s="6"/>
      <c r="O26" s="6" t="s">
        <v>32</v>
      </c>
      <c r="P26" s="6" t="s">
        <v>253</v>
      </c>
      <c r="Q26" s="6" t="s">
        <v>824</v>
      </c>
      <c r="R26" s="6" t="s">
        <v>35</v>
      </c>
      <c r="S26" s="6"/>
      <c r="T26" s="6" t="s">
        <v>825</v>
      </c>
      <c r="U26" s="6" t="s">
        <v>63</v>
      </c>
      <c r="V26" s="6" t="s">
        <v>39</v>
      </c>
      <c r="W26" s="6" t="s">
        <v>40</v>
      </c>
      <c r="X26" s="6" t="s">
        <v>41</v>
      </c>
      <c r="Y26" s="14" t="s">
        <v>2124</v>
      </c>
    </row>
    <row r="27" spans="1:25" x14ac:dyDescent="0.45">
      <c r="A27" s="6" t="s">
        <v>871</v>
      </c>
      <c r="B27" s="6" t="s">
        <v>29</v>
      </c>
      <c r="C27" s="6" t="s">
        <v>331</v>
      </c>
      <c r="D27" s="6" t="s">
        <v>332</v>
      </c>
      <c r="E27" s="6" t="s">
        <v>872</v>
      </c>
      <c r="F27" s="6" t="s">
        <v>31</v>
      </c>
      <c r="G27" s="6"/>
      <c r="H27" s="6"/>
      <c r="I27" s="6" t="s">
        <v>192</v>
      </c>
      <c r="J27" s="6" t="s">
        <v>173</v>
      </c>
      <c r="K27" s="6"/>
      <c r="L27" s="6"/>
      <c r="M27" s="6" t="s">
        <v>70</v>
      </c>
      <c r="N27" s="6" t="s">
        <v>136</v>
      </c>
      <c r="O27" s="6" t="s">
        <v>32</v>
      </c>
      <c r="P27" s="6" t="s">
        <v>111</v>
      </c>
      <c r="Q27" s="6" t="s">
        <v>873</v>
      </c>
      <c r="R27" s="6" t="s">
        <v>35</v>
      </c>
      <c r="S27" s="6" t="s">
        <v>874</v>
      </c>
      <c r="T27" s="6"/>
      <c r="U27" s="6" t="s">
        <v>63</v>
      </c>
      <c r="V27" s="6" t="s">
        <v>39</v>
      </c>
      <c r="W27" s="6" t="s">
        <v>40</v>
      </c>
      <c r="X27" s="6" t="s">
        <v>41</v>
      </c>
      <c r="Y27" s="14" t="s">
        <v>2125</v>
      </c>
    </row>
    <row r="28" spans="1:25" x14ac:dyDescent="0.45">
      <c r="A28" s="6" t="s">
        <v>898</v>
      </c>
      <c r="B28" s="6" t="s">
        <v>29</v>
      </c>
      <c r="C28" s="6" t="s">
        <v>132</v>
      </c>
      <c r="D28" s="6" t="s">
        <v>388</v>
      </c>
      <c r="E28" s="6" t="s">
        <v>899</v>
      </c>
      <c r="F28" s="6" t="s">
        <v>81</v>
      </c>
      <c r="G28" s="6"/>
      <c r="H28" s="6"/>
      <c r="I28" s="6"/>
      <c r="J28" s="6"/>
      <c r="K28" s="6"/>
      <c r="L28" s="6"/>
      <c r="M28" s="6" t="s">
        <v>55</v>
      </c>
      <c r="N28" s="6" t="s">
        <v>572</v>
      </c>
      <c r="O28" s="6" t="s">
        <v>900</v>
      </c>
      <c r="P28" s="6" t="s">
        <v>901</v>
      </c>
      <c r="Q28" s="6" t="s">
        <v>902</v>
      </c>
      <c r="R28" s="6" t="s">
        <v>35</v>
      </c>
      <c r="S28" s="6"/>
      <c r="T28" s="6" t="s">
        <v>903</v>
      </c>
      <c r="U28" s="6" t="s">
        <v>63</v>
      </c>
      <c r="V28" s="6" t="s">
        <v>39</v>
      </c>
      <c r="W28" s="6" t="s">
        <v>40</v>
      </c>
      <c r="X28" s="6" t="s">
        <v>41</v>
      </c>
      <c r="Y28" s="14" t="s">
        <v>2126</v>
      </c>
    </row>
    <row r="29" spans="1:25" x14ac:dyDescent="0.45">
      <c r="A29" s="6" t="s">
        <v>944</v>
      </c>
      <c r="B29" s="6" t="s">
        <v>29</v>
      </c>
      <c r="C29" s="6"/>
      <c r="D29" s="6"/>
      <c r="E29" s="6" t="s">
        <v>945</v>
      </c>
      <c r="F29" s="6" t="s">
        <v>31</v>
      </c>
      <c r="G29" s="6" t="s">
        <v>58</v>
      </c>
      <c r="H29" s="6" t="s">
        <v>59</v>
      </c>
      <c r="I29" s="6" t="s">
        <v>69</v>
      </c>
      <c r="J29" s="6" t="s">
        <v>110</v>
      </c>
      <c r="K29" s="6"/>
      <c r="L29" s="6"/>
      <c r="M29" s="6" t="s">
        <v>58</v>
      </c>
      <c r="N29" s="6" t="s">
        <v>55</v>
      </c>
      <c r="O29" s="6" t="s">
        <v>72</v>
      </c>
      <c r="P29" s="6" t="s">
        <v>253</v>
      </c>
      <c r="Q29" s="6" t="s">
        <v>946</v>
      </c>
      <c r="R29" s="6" t="s">
        <v>35</v>
      </c>
      <c r="S29" s="6" t="s">
        <v>947</v>
      </c>
      <c r="T29" s="6"/>
      <c r="U29" s="6" t="s">
        <v>63</v>
      </c>
      <c r="V29" s="6" t="s">
        <v>39</v>
      </c>
      <c r="W29" s="6" t="s">
        <v>40</v>
      </c>
      <c r="X29" s="6" t="s">
        <v>41</v>
      </c>
      <c r="Y29" s="14" t="s">
        <v>2127</v>
      </c>
    </row>
    <row r="30" spans="1:25" x14ac:dyDescent="0.45">
      <c r="A30" s="6" t="s">
        <v>962</v>
      </c>
      <c r="B30" s="6" t="s">
        <v>29</v>
      </c>
      <c r="C30" s="6"/>
      <c r="D30" s="6"/>
      <c r="E30" s="6" t="s">
        <v>963</v>
      </c>
      <c r="F30" s="6" t="s">
        <v>31</v>
      </c>
      <c r="G30" s="6" t="s">
        <v>54</v>
      </c>
      <c r="H30" s="6" t="s">
        <v>59</v>
      </c>
      <c r="I30" s="6" t="s">
        <v>135</v>
      </c>
      <c r="J30" s="6" t="s">
        <v>54</v>
      </c>
      <c r="K30" s="6"/>
      <c r="L30" s="6"/>
      <c r="M30" s="6" t="s">
        <v>69</v>
      </c>
      <c r="N30" s="6" t="s">
        <v>70</v>
      </c>
      <c r="O30" s="6" t="s">
        <v>60</v>
      </c>
      <c r="P30" s="6" t="s">
        <v>111</v>
      </c>
      <c r="Q30" s="6" t="s">
        <v>572</v>
      </c>
      <c r="R30" s="6" t="s">
        <v>35</v>
      </c>
      <c r="S30" s="6"/>
      <c r="T30" s="6"/>
      <c r="U30" s="6" t="s">
        <v>63</v>
      </c>
      <c r="V30" s="6" t="s">
        <v>39</v>
      </c>
      <c r="W30" s="6" t="s">
        <v>40</v>
      </c>
      <c r="X30" s="6" t="s">
        <v>41</v>
      </c>
      <c r="Y30" s="14" t="s">
        <v>2128</v>
      </c>
    </row>
    <row r="31" spans="1:25" x14ac:dyDescent="0.45">
      <c r="A31" s="6" t="s">
        <v>1027</v>
      </c>
      <c r="B31" s="6" t="s">
        <v>29</v>
      </c>
      <c r="C31" s="6" t="s">
        <v>839</v>
      </c>
      <c r="D31" s="6" t="s">
        <v>1028</v>
      </c>
      <c r="E31" s="6" t="s">
        <v>1029</v>
      </c>
      <c r="F31" s="6" t="s">
        <v>31</v>
      </c>
      <c r="G31" s="6" t="s">
        <v>70</v>
      </c>
      <c r="H31" s="6" t="s">
        <v>456</v>
      </c>
      <c r="I31" s="6" t="s">
        <v>69</v>
      </c>
      <c r="J31" s="6" t="s">
        <v>70</v>
      </c>
      <c r="K31" s="6"/>
      <c r="L31" s="6"/>
      <c r="M31" s="6" t="s">
        <v>54</v>
      </c>
      <c r="N31" s="6" t="s">
        <v>55</v>
      </c>
      <c r="O31" s="6" t="s">
        <v>32</v>
      </c>
      <c r="P31" s="6" t="s">
        <v>279</v>
      </c>
      <c r="Q31" s="6"/>
      <c r="R31" s="6" t="s">
        <v>35</v>
      </c>
      <c r="S31" s="6"/>
      <c r="T31" s="6"/>
      <c r="U31" s="6" t="s">
        <v>63</v>
      </c>
      <c r="V31" s="6" t="s">
        <v>39</v>
      </c>
      <c r="W31" s="6" t="s">
        <v>40</v>
      </c>
      <c r="X31" s="6" t="s">
        <v>41</v>
      </c>
      <c r="Y31" s="14" t="s">
        <v>2129</v>
      </c>
    </row>
    <row r="32" spans="1:25" x14ac:dyDescent="0.45">
      <c r="A32" s="2" t="s">
        <v>1085</v>
      </c>
      <c r="B32" s="2" t="s">
        <v>29</v>
      </c>
      <c r="C32" s="2"/>
      <c r="D32" s="2"/>
      <c r="E32" s="2" t="s">
        <v>1086</v>
      </c>
      <c r="F32" s="2"/>
      <c r="G32" s="2"/>
      <c r="H32" s="2"/>
      <c r="I32" s="2"/>
      <c r="J32" s="2"/>
      <c r="K32" s="2"/>
      <c r="L32" s="2"/>
      <c r="M32" s="2"/>
      <c r="N32" s="2"/>
      <c r="O32" s="2" t="s">
        <v>32</v>
      </c>
      <c r="P32" s="2" t="s">
        <v>73</v>
      </c>
      <c r="Q32" s="2" t="s">
        <v>1087</v>
      </c>
      <c r="R32" s="2" t="s">
        <v>35</v>
      </c>
      <c r="S32" s="2"/>
      <c r="T32" s="2"/>
      <c r="U32" s="2" t="s">
        <v>38</v>
      </c>
      <c r="V32" s="2" t="s">
        <v>39</v>
      </c>
      <c r="W32" s="2" t="s">
        <v>40</v>
      </c>
      <c r="X32" s="2" t="s">
        <v>41</v>
      </c>
      <c r="Y32" s="15" t="s">
        <v>2130</v>
      </c>
    </row>
    <row r="33" spans="1:25" x14ac:dyDescent="0.45">
      <c r="A33" s="2" t="s">
        <v>1148</v>
      </c>
      <c r="B33" s="2" t="s">
        <v>29</v>
      </c>
      <c r="C33" s="2"/>
      <c r="D33" s="2"/>
      <c r="E33" s="2" t="s">
        <v>1149</v>
      </c>
      <c r="F33" s="2" t="s">
        <v>81</v>
      </c>
      <c r="G33" s="2"/>
      <c r="H33" s="2"/>
      <c r="I33" s="2"/>
      <c r="J33" s="2"/>
      <c r="K33" s="2"/>
      <c r="L33" s="2"/>
      <c r="M33" s="2"/>
      <c r="N33" s="2"/>
      <c r="O33" s="2" t="s">
        <v>32</v>
      </c>
      <c r="P33" s="2" t="s">
        <v>279</v>
      </c>
      <c r="Q33" s="2" t="s">
        <v>1150</v>
      </c>
      <c r="R33" s="2" t="s">
        <v>35</v>
      </c>
      <c r="S33" s="2" t="s">
        <v>154</v>
      </c>
      <c r="T33" s="2"/>
      <c r="U33" s="2" t="s">
        <v>38</v>
      </c>
      <c r="V33" s="2" t="s">
        <v>39</v>
      </c>
      <c r="W33" s="2" t="s">
        <v>40</v>
      </c>
      <c r="X33" s="2" t="s">
        <v>41</v>
      </c>
      <c r="Y33" s="15" t="s">
        <v>2131</v>
      </c>
    </row>
    <row r="34" spans="1:25" x14ac:dyDescent="0.45">
      <c r="A34" s="6" t="s">
        <v>1239</v>
      </c>
      <c r="B34" s="6" t="s">
        <v>29</v>
      </c>
      <c r="C34" s="6" t="s">
        <v>101</v>
      </c>
      <c r="D34" s="6" t="s">
        <v>557</v>
      </c>
      <c r="E34" s="6" t="s">
        <v>1240</v>
      </c>
      <c r="F34" s="6" t="s">
        <v>81</v>
      </c>
      <c r="G34" s="6" t="s">
        <v>70</v>
      </c>
      <c r="H34" s="6" t="s">
        <v>456</v>
      </c>
      <c r="I34" s="6" t="s">
        <v>69</v>
      </c>
      <c r="J34" s="6" t="s">
        <v>70</v>
      </c>
      <c r="K34" s="6"/>
      <c r="L34" s="6"/>
      <c r="M34" s="6" t="s">
        <v>70</v>
      </c>
      <c r="N34" s="6" t="s">
        <v>572</v>
      </c>
      <c r="O34" s="6" t="s">
        <v>193</v>
      </c>
      <c r="P34" s="6" t="s">
        <v>46</v>
      </c>
      <c r="Q34" s="6" t="s">
        <v>1241</v>
      </c>
      <c r="R34" s="6" t="s">
        <v>35</v>
      </c>
      <c r="S34" s="6" t="s">
        <v>1242</v>
      </c>
      <c r="T34" s="6"/>
      <c r="U34" s="6" t="s">
        <v>63</v>
      </c>
      <c r="V34" s="6" t="s">
        <v>39</v>
      </c>
      <c r="W34" s="6" t="s">
        <v>40</v>
      </c>
      <c r="X34" s="6" t="s">
        <v>41</v>
      </c>
      <c r="Y34" s="14" t="s">
        <v>2132</v>
      </c>
    </row>
    <row r="35" spans="1:25" x14ac:dyDescent="0.45">
      <c r="A35" s="6" t="s">
        <v>1329</v>
      </c>
      <c r="B35" s="6" t="s">
        <v>29</v>
      </c>
      <c r="C35" s="6" t="s">
        <v>1330</v>
      </c>
      <c r="D35" s="6" t="s">
        <v>1331</v>
      </c>
      <c r="E35" s="6" t="s">
        <v>1332</v>
      </c>
      <c r="F35" s="6" t="s">
        <v>31</v>
      </c>
      <c r="G35" s="6"/>
      <c r="H35" s="6"/>
      <c r="I35" s="6" t="s">
        <v>69</v>
      </c>
      <c r="J35" s="6" t="s">
        <v>110</v>
      </c>
      <c r="K35" s="6" t="s">
        <v>70</v>
      </c>
      <c r="L35" s="6" t="s">
        <v>563</v>
      </c>
      <c r="M35" s="6" t="s">
        <v>58</v>
      </c>
      <c r="N35" s="6" t="s">
        <v>136</v>
      </c>
      <c r="O35" s="6" t="s">
        <v>32</v>
      </c>
      <c r="P35" s="6" t="s">
        <v>1333</v>
      </c>
      <c r="Q35" s="6" t="s">
        <v>1335</v>
      </c>
      <c r="R35" s="6" t="s">
        <v>35</v>
      </c>
      <c r="S35" s="6"/>
      <c r="T35" s="6"/>
      <c r="U35" s="6" t="s">
        <v>63</v>
      </c>
      <c r="V35" s="6" t="s">
        <v>39</v>
      </c>
      <c r="W35" s="6" t="s">
        <v>40</v>
      </c>
      <c r="X35" s="6" t="s">
        <v>41</v>
      </c>
      <c r="Y35" s="14" t="s">
        <v>2133</v>
      </c>
    </row>
    <row r="36" spans="1:25" x14ac:dyDescent="0.45">
      <c r="A36" s="6" t="s">
        <v>1356</v>
      </c>
      <c r="B36" s="6" t="s">
        <v>29</v>
      </c>
      <c r="C36" s="6"/>
      <c r="D36" s="6"/>
      <c r="E36" s="6" t="s">
        <v>1357</v>
      </c>
      <c r="F36" s="6" t="s">
        <v>31</v>
      </c>
      <c r="G36" s="6" t="s">
        <v>55</v>
      </c>
      <c r="H36" s="6" t="s">
        <v>57</v>
      </c>
      <c r="I36" s="6" t="s">
        <v>192</v>
      </c>
      <c r="J36" s="6" t="s">
        <v>136</v>
      </c>
      <c r="K36" s="6" t="s">
        <v>55</v>
      </c>
      <c r="L36" s="6" t="s">
        <v>258</v>
      </c>
      <c r="M36" s="6" t="s">
        <v>110</v>
      </c>
      <c r="N36" s="6" t="s">
        <v>136</v>
      </c>
      <c r="O36" s="6" t="s">
        <v>32</v>
      </c>
      <c r="P36" s="6" t="s">
        <v>1358</v>
      </c>
      <c r="Q36" s="6"/>
      <c r="R36" s="6" t="s">
        <v>35</v>
      </c>
      <c r="S36" s="6" t="s">
        <v>1359</v>
      </c>
      <c r="T36" s="6"/>
      <c r="U36" s="6" t="s">
        <v>63</v>
      </c>
      <c r="V36" s="6" t="s">
        <v>39</v>
      </c>
      <c r="W36" s="6" t="s">
        <v>40</v>
      </c>
      <c r="X36" s="6" t="s">
        <v>41</v>
      </c>
      <c r="Y36" s="14" t="s">
        <v>2134</v>
      </c>
    </row>
    <row r="37" spans="1:25" x14ac:dyDescent="0.45">
      <c r="A37" s="6" t="s">
        <v>1380</v>
      </c>
      <c r="B37" s="6" t="s">
        <v>29</v>
      </c>
      <c r="C37" s="6" t="s">
        <v>1097</v>
      </c>
      <c r="D37" s="6" t="s">
        <v>805</v>
      </c>
      <c r="E37" s="6" t="s">
        <v>1381</v>
      </c>
      <c r="F37" s="6" t="s">
        <v>31</v>
      </c>
      <c r="G37" s="6"/>
      <c r="H37" s="6"/>
      <c r="I37" s="6" t="s">
        <v>69</v>
      </c>
      <c r="J37" s="6" t="s">
        <v>110</v>
      </c>
      <c r="K37" s="6"/>
      <c r="L37" s="6"/>
      <c r="M37" s="6"/>
      <c r="N37" s="6"/>
      <c r="O37" s="6" t="s">
        <v>32</v>
      </c>
      <c r="P37" s="6" t="s">
        <v>1042</v>
      </c>
      <c r="Q37" s="6" t="s">
        <v>1382</v>
      </c>
      <c r="R37" s="6" t="s">
        <v>35</v>
      </c>
      <c r="S37" s="6" t="s">
        <v>1383</v>
      </c>
      <c r="T37" s="6"/>
      <c r="U37" s="6" t="s">
        <v>63</v>
      </c>
      <c r="V37" s="6" t="s">
        <v>39</v>
      </c>
      <c r="W37" s="6" t="s">
        <v>40</v>
      </c>
      <c r="X37" s="6" t="s">
        <v>41</v>
      </c>
      <c r="Y37" s="14" t="s">
        <v>2135</v>
      </c>
    </row>
    <row r="38" spans="1:25" x14ac:dyDescent="0.45">
      <c r="A38" s="6" t="s">
        <v>1450</v>
      </c>
      <c r="B38" s="6" t="s">
        <v>29</v>
      </c>
      <c r="C38" s="6"/>
      <c r="D38" s="6"/>
      <c r="E38" s="6" t="s">
        <v>1451</v>
      </c>
      <c r="F38" s="6" t="s">
        <v>31</v>
      </c>
      <c r="G38" s="6"/>
      <c r="H38" s="6"/>
      <c r="I38" s="6" t="s">
        <v>54</v>
      </c>
      <c r="J38" s="6" t="s">
        <v>56</v>
      </c>
      <c r="K38" s="6" t="s">
        <v>55</v>
      </c>
      <c r="L38" s="6" t="s">
        <v>1452</v>
      </c>
      <c r="M38" s="6"/>
      <c r="N38" s="6"/>
      <c r="O38" s="6" t="s">
        <v>72</v>
      </c>
      <c r="P38" s="6" t="s">
        <v>410</v>
      </c>
      <c r="Q38" s="6" t="s">
        <v>1454</v>
      </c>
      <c r="R38" s="6" t="s">
        <v>35</v>
      </c>
      <c r="S38" s="6" t="s">
        <v>1455</v>
      </c>
      <c r="T38" s="6" t="s">
        <v>1456</v>
      </c>
      <c r="U38" s="6" t="s">
        <v>63</v>
      </c>
      <c r="V38" s="6" t="s">
        <v>39</v>
      </c>
      <c r="W38" s="6" t="s">
        <v>40</v>
      </c>
      <c r="X38" s="6" t="s">
        <v>41</v>
      </c>
      <c r="Y38" s="14" t="s">
        <v>2136</v>
      </c>
    </row>
    <row r="39" spans="1:25" x14ac:dyDescent="0.45">
      <c r="A39" s="6" t="s">
        <v>1482</v>
      </c>
      <c r="B39" s="6" t="s">
        <v>291</v>
      </c>
      <c r="C39" s="6" t="s">
        <v>272</v>
      </c>
      <c r="D39" s="6" t="s">
        <v>273</v>
      </c>
      <c r="E39" s="6" t="s">
        <v>1483</v>
      </c>
      <c r="F39" s="6" t="s">
        <v>81</v>
      </c>
      <c r="G39" s="6" t="s">
        <v>192</v>
      </c>
      <c r="H39" s="6" t="s">
        <v>136</v>
      </c>
      <c r="I39" s="6" t="s">
        <v>135</v>
      </c>
      <c r="J39" s="6" t="s">
        <v>54</v>
      </c>
      <c r="K39" s="6"/>
      <c r="L39" s="6"/>
      <c r="M39" s="6" t="s">
        <v>69</v>
      </c>
      <c r="N39" s="6" t="s">
        <v>70</v>
      </c>
      <c r="O39" s="6" t="s">
        <v>1484</v>
      </c>
      <c r="P39" s="6" t="s">
        <v>259</v>
      </c>
      <c r="Q39" s="6"/>
      <c r="R39" s="6" t="s">
        <v>35</v>
      </c>
      <c r="S39" s="6"/>
      <c r="T39" s="6"/>
      <c r="U39" s="6" t="s">
        <v>63</v>
      </c>
      <c r="V39" s="6" t="s">
        <v>39</v>
      </c>
      <c r="W39" s="6" t="s">
        <v>40</v>
      </c>
      <c r="X39" s="6" t="s">
        <v>41</v>
      </c>
      <c r="Y39" s="14" t="s">
        <v>2137</v>
      </c>
    </row>
    <row r="40" spans="1:25" x14ac:dyDescent="0.45">
      <c r="A40" s="6" t="s">
        <v>1647</v>
      </c>
      <c r="B40" s="6" t="s">
        <v>29</v>
      </c>
      <c r="C40" s="6" t="s">
        <v>272</v>
      </c>
      <c r="D40" s="6" t="s">
        <v>273</v>
      </c>
      <c r="E40" s="6" t="s">
        <v>1648</v>
      </c>
      <c r="F40" s="6" t="s">
        <v>81</v>
      </c>
      <c r="G40" s="6" t="s">
        <v>69</v>
      </c>
      <c r="H40" s="6" t="s">
        <v>55</v>
      </c>
      <c r="I40" s="6" t="s">
        <v>469</v>
      </c>
      <c r="J40" s="6" t="s">
        <v>192</v>
      </c>
      <c r="K40" s="6"/>
      <c r="L40" s="6"/>
      <c r="M40" s="6" t="s">
        <v>469</v>
      </c>
      <c r="N40" s="6"/>
      <c r="O40" s="6" t="s">
        <v>32</v>
      </c>
      <c r="P40" s="6" t="s">
        <v>1557</v>
      </c>
      <c r="Q40" s="6" t="s">
        <v>1650</v>
      </c>
      <c r="R40" s="6" t="s">
        <v>35</v>
      </c>
      <c r="S40" s="6"/>
      <c r="T40" s="6"/>
      <c r="U40" s="6" t="s">
        <v>63</v>
      </c>
      <c r="V40" s="6" t="s">
        <v>39</v>
      </c>
      <c r="W40" s="6" t="s">
        <v>40</v>
      </c>
      <c r="X40" s="6" t="s">
        <v>41</v>
      </c>
      <c r="Y40" s="14" t="s">
        <v>2138</v>
      </c>
    </row>
    <row r="41" spans="1:25" x14ac:dyDescent="0.45">
      <c r="A41" s="6" t="s">
        <v>1685</v>
      </c>
      <c r="B41" s="6" t="s">
        <v>29</v>
      </c>
      <c r="C41" s="6" t="s">
        <v>331</v>
      </c>
      <c r="D41" s="6" t="s">
        <v>332</v>
      </c>
      <c r="E41" s="6" t="s">
        <v>1686</v>
      </c>
      <c r="F41" s="6" t="s">
        <v>31</v>
      </c>
      <c r="G41" s="6"/>
      <c r="H41" s="6"/>
      <c r="I41" s="6" t="s">
        <v>125</v>
      </c>
      <c r="J41" s="6" t="s">
        <v>1687</v>
      </c>
      <c r="K41" s="6"/>
      <c r="L41" s="6"/>
      <c r="M41" s="6"/>
      <c r="N41" s="6"/>
      <c r="O41" s="6" t="s">
        <v>32</v>
      </c>
      <c r="P41" s="6" t="s">
        <v>503</v>
      </c>
      <c r="Q41" s="6" t="s">
        <v>1688</v>
      </c>
      <c r="R41" s="6" t="s">
        <v>35</v>
      </c>
      <c r="S41" s="6"/>
      <c r="T41" s="6"/>
      <c r="U41" s="6" t="s">
        <v>63</v>
      </c>
      <c r="V41" s="6" t="s">
        <v>39</v>
      </c>
      <c r="W41" s="6" t="s">
        <v>40</v>
      </c>
      <c r="X41" s="6" t="s">
        <v>41</v>
      </c>
      <c r="Y41" s="14" t="s">
        <v>2139</v>
      </c>
    </row>
    <row r="42" spans="1:25" x14ac:dyDescent="0.45">
      <c r="A42" s="6" t="s">
        <v>1718</v>
      </c>
      <c r="B42" s="6" t="s">
        <v>29</v>
      </c>
      <c r="C42" s="6" t="s">
        <v>51</v>
      </c>
      <c r="D42" s="6" t="s">
        <v>52</v>
      </c>
      <c r="E42" s="6" t="s">
        <v>1719</v>
      </c>
      <c r="F42" s="6" t="s">
        <v>81</v>
      </c>
      <c r="G42" s="6" t="s">
        <v>70</v>
      </c>
      <c r="H42" s="6" t="s">
        <v>456</v>
      </c>
      <c r="I42" s="6" t="s">
        <v>54</v>
      </c>
      <c r="J42" s="6" t="s">
        <v>70</v>
      </c>
      <c r="K42" s="6" t="s">
        <v>136</v>
      </c>
      <c r="L42" s="6" t="s">
        <v>456</v>
      </c>
      <c r="M42" s="6" t="s">
        <v>55</v>
      </c>
      <c r="N42" s="6" t="s">
        <v>1720</v>
      </c>
      <c r="O42" s="6" t="s">
        <v>32</v>
      </c>
      <c r="P42" s="6" t="s">
        <v>503</v>
      </c>
      <c r="Q42" s="6" t="s">
        <v>1721</v>
      </c>
      <c r="R42" s="6" t="s">
        <v>35</v>
      </c>
      <c r="S42" s="6"/>
      <c r="T42" s="6"/>
      <c r="U42" s="6" t="s">
        <v>63</v>
      </c>
      <c r="V42" s="6" t="s">
        <v>39</v>
      </c>
      <c r="W42" s="6" t="s">
        <v>40</v>
      </c>
      <c r="X42" s="6" t="s">
        <v>41</v>
      </c>
      <c r="Y42" s="14" t="s">
        <v>2140</v>
      </c>
    </row>
    <row r="43" spans="1:25" x14ac:dyDescent="0.45">
      <c r="A43" s="2" t="s">
        <v>1784</v>
      </c>
      <c r="B43" s="2" t="s">
        <v>29</v>
      </c>
      <c r="C43" s="2"/>
      <c r="D43" s="2"/>
      <c r="E43" s="2" t="s">
        <v>1785</v>
      </c>
      <c r="F43" s="2" t="s">
        <v>81</v>
      </c>
      <c r="G43" s="2"/>
      <c r="H43" s="2"/>
      <c r="I43" s="2"/>
      <c r="J43" s="2"/>
      <c r="K43" s="2"/>
      <c r="L43" s="2"/>
      <c r="M43" s="2"/>
      <c r="N43" s="2"/>
      <c r="O43" s="2" t="s">
        <v>32</v>
      </c>
      <c r="P43" s="2" t="s">
        <v>1786</v>
      </c>
      <c r="Q43" s="2" t="s">
        <v>1787</v>
      </c>
      <c r="R43" s="2" t="s">
        <v>35</v>
      </c>
      <c r="S43" s="2"/>
      <c r="T43" s="2"/>
      <c r="U43" s="2" t="s">
        <v>38</v>
      </c>
      <c r="V43" s="2" t="s">
        <v>39</v>
      </c>
      <c r="W43" s="2" t="s">
        <v>40</v>
      </c>
      <c r="X43" s="2" t="s">
        <v>41</v>
      </c>
      <c r="Y43" s="15" t="s">
        <v>2141</v>
      </c>
    </row>
    <row r="44" spans="1:25" x14ac:dyDescent="0.45">
      <c r="A44" s="6" t="s">
        <v>1795</v>
      </c>
      <c r="B44" s="6" t="s">
        <v>29</v>
      </c>
      <c r="C44" s="6" t="s">
        <v>272</v>
      </c>
      <c r="D44" s="6" t="s">
        <v>273</v>
      </c>
      <c r="E44" s="6" t="s">
        <v>1796</v>
      </c>
      <c r="F44" s="6" t="s">
        <v>31</v>
      </c>
      <c r="G44" s="6" t="s">
        <v>192</v>
      </c>
      <c r="H44" s="6" t="s">
        <v>56</v>
      </c>
      <c r="I44" s="6" t="s">
        <v>125</v>
      </c>
      <c r="J44" s="6" t="s">
        <v>192</v>
      </c>
      <c r="K44" s="6" t="s">
        <v>54</v>
      </c>
      <c r="L44" s="6" t="s">
        <v>55</v>
      </c>
      <c r="M44" s="6" t="s">
        <v>69</v>
      </c>
      <c r="N44" s="6" t="s">
        <v>110</v>
      </c>
      <c r="O44" s="6" t="s">
        <v>72</v>
      </c>
      <c r="P44" s="6" t="s">
        <v>410</v>
      </c>
      <c r="Q44" s="6" t="s">
        <v>1797</v>
      </c>
      <c r="R44" s="6" t="s">
        <v>35</v>
      </c>
      <c r="S44" s="6"/>
      <c r="T44" s="6"/>
      <c r="U44" s="6" t="s">
        <v>63</v>
      </c>
      <c r="V44" s="6" t="s">
        <v>39</v>
      </c>
      <c r="W44" s="6" t="s">
        <v>414</v>
      </c>
      <c r="X44" s="6" t="s">
        <v>41</v>
      </c>
      <c r="Y44" s="14" t="s">
        <v>2115</v>
      </c>
    </row>
    <row r="45" spans="1:25" x14ac:dyDescent="0.45">
      <c r="A45" s="4" t="s">
        <v>1830</v>
      </c>
      <c r="B45" s="4" t="s">
        <v>29</v>
      </c>
      <c r="C45" s="4"/>
      <c r="D45" s="4"/>
      <c r="E45" s="4" t="s">
        <v>1831</v>
      </c>
      <c r="F45" s="4"/>
      <c r="G45" s="4"/>
      <c r="H45" s="4"/>
      <c r="I45" s="4"/>
      <c r="J45" s="4"/>
      <c r="K45" s="4"/>
      <c r="L45" s="4"/>
      <c r="M45" s="4"/>
      <c r="N45" s="4"/>
      <c r="O45" s="4"/>
      <c r="P45" s="4" t="s">
        <v>309</v>
      </c>
      <c r="Q45" s="4" t="s">
        <v>1832</v>
      </c>
      <c r="R45" s="4" t="s">
        <v>35</v>
      </c>
      <c r="S45" s="4"/>
      <c r="T45" s="4"/>
      <c r="U45" s="4" t="s">
        <v>47</v>
      </c>
      <c r="V45" s="4" t="s">
        <v>48</v>
      </c>
      <c r="W45" s="4" t="s">
        <v>40</v>
      </c>
      <c r="X45" s="4" t="s">
        <v>41</v>
      </c>
      <c r="Y45" s="16" t="s">
        <v>2142</v>
      </c>
    </row>
    <row r="46" spans="1:25" x14ac:dyDescent="0.45">
      <c r="A46" s="2" t="s">
        <v>1867</v>
      </c>
      <c r="B46" s="2" t="s">
        <v>29</v>
      </c>
      <c r="C46" s="2"/>
      <c r="D46" s="2"/>
      <c r="E46" s="2" t="s">
        <v>1868</v>
      </c>
      <c r="F46" s="2" t="s">
        <v>81</v>
      </c>
      <c r="G46" s="2"/>
      <c r="H46" s="2"/>
      <c r="I46" s="2"/>
      <c r="J46" s="2"/>
      <c r="K46" s="2"/>
      <c r="L46" s="2"/>
      <c r="M46" s="2"/>
      <c r="N46" s="2"/>
      <c r="O46" s="2" t="s">
        <v>32</v>
      </c>
      <c r="P46" s="2" t="s">
        <v>105</v>
      </c>
      <c r="Q46" s="2" t="s">
        <v>1869</v>
      </c>
      <c r="R46" s="2" t="s">
        <v>35</v>
      </c>
      <c r="S46" s="2"/>
      <c r="T46" s="2"/>
      <c r="U46" s="2" t="s">
        <v>38</v>
      </c>
      <c r="V46" s="2" t="s">
        <v>39</v>
      </c>
      <c r="W46" s="2" t="s">
        <v>40</v>
      </c>
      <c r="X46" s="2" t="s">
        <v>41</v>
      </c>
      <c r="Y46" s="15" t="s">
        <v>2143</v>
      </c>
    </row>
    <row r="47" spans="1:25" x14ac:dyDescent="0.45">
      <c r="A47" s="6" t="s">
        <v>1922</v>
      </c>
      <c r="B47" s="6" t="s">
        <v>29</v>
      </c>
      <c r="C47" s="6"/>
      <c r="D47" s="6"/>
      <c r="E47" s="6" t="s">
        <v>1923</v>
      </c>
      <c r="F47" s="6" t="s">
        <v>31</v>
      </c>
      <c r="G47" s="6" t="s">
        <v>173</v>
      </c>
      <c r="H47" s="6" t="s">
        <v>786</v>
      </c>
      <c r="I47" s="6"/>
      <c r="J47" s="6"/>
      <c r="K47" s="6"/>
      <c r="L47" s="6"/>
      <c r="M47" s="6" t="s">
        <v>192</v>
      </c>
      <c r="N47" s="6" t="s">
        <v>572</v>
      </c>
      <c r="O47" s="6" t="s">
        <v>32</v>
      </c>
      <c r="P47" s="6" t="s">
        <v>410</v>
      </c>
      <c r="Q47" s="6" t="s">
        <v>1924</v>
      </c>
      <c r="R47" s="6" t="s">
        <v>35</v>
      </c>
      <c r="S47" s="6"/>
      <c r="T47" s="6"/>
      <c r="U47" s="6" t="s">
        <v>63</v>
      </c>
      <c r="V47" s="6" t="s">
        <v>39</v>
      </c>
      <c r="W47" s="6" t="s">
        <v>40</v>
      </c>
      <c r="X47" s="6" t="s">
        <v>41</v>
      </c>
      <c r="Y47" s="14" t="s">
        <v>2144</v>
      </c>
    </row>
    <row r="48" spans="1:25" x14ac:dyDescent="0.45">
      <c r="A48" s="6" t="s">
        <v>1993</v>
      </c>
      <c r="B48" s="6" t="s">
        <v>291</v>
      </c>
      <c r="C48" s="6" t="s">
        <v>132</v>
      </c>
      <c r="D48" s="6" t="s">
        <v>163</v>
      </c>
      <c r="E48" s="6" t="s">
        <v>1994</v>
      </c>
      <c r="F48" s="6" t="s">
        <v>81</v>
      </c>
      <c r="G48" s="6" t="s">
        <v>192</v>
      </c>
      <c r="H48" s="6" t="s">
        <v>136</v>
      </c>
      <c r="I48" s="6" t="s">
        <v>125</v>
      </c>
      <c r="J48" s="6" t="s">
        <v>54</v>
      </c>
      <c r="K48" s="6" t="s">
        <v>192</v>
      </c>
      <c r="L48" s="6" t="s">
        <v>1670</v>
      </c>
      <c r="M48" s="6"/>
      <c r="N48" s="6"/>
      <c r="O48" s="6" t="s">
        <v>72</v>
      </c>
      <c r="P48" s="6" t="s">
        <v>1694</v>
      </c>
      <c r="Q48" s="6"/>
      <c r="R48" s="6"/>
      <c r="S48" s="6"/>
      <c r="T48" s="6"/>
      <c r="U48" s="6" t="s">
        <v>63</v>
      </c>
      <c r="V48" s="6" t="s">
        <v>39</v>
      </c>
      <c r="W48" s="6" t="s">
        <v>40</v>
      </c>
      <c r="X48" s="6" t="s">
        <v>41</v>
      </c>
      <c r="Y48" s="14" t="s">
        <v>2145</v>
      </c>
    </row>
    <row r="49" spans="1:25" x14ac:dyDescent="0.45">
      <c r="A49" s="6" t="s">
        <v>2040</v>
      </c>
      <c r="B49" s="6" t="s">
        <v>29</v>
      </c>
      <c r="C49" s="6" t="s">
        <v>272</v>
      </c>
      <c r="D49" s="6" t="s">
        <v>273</v>
      </c>
      <c r="E49" s="6" t="s">
        <v>2041</v>
      </c>
      <c r="F49" s="6" t="s">
        <v>31</v>
      </c>
      <c r="G49" s="6"/>
      <c r="H49" s="6"/>
      <c r="I49" s="6" t="s">
        <v>192</v>
      </c>
      <c r="J49" s="6" t="s">
        <v>56</v>
      </c>
      <c r="K49" s="6"/>
      <c r="L49" s="6"/>
      <c r="M49" s="6"/>
      <c r="N49" s="6"/>
      <c r="O49" s="6" t="s">
        <v>32</v>
      </c>
      <c r="P49" s="6" t="s">
        <v>88</v>
      </c>
      <c r="Q49" s="6"/>
      <c r="R49" s="6" t="s">
        <v>35</v>
      </c>
      <c r="S49" s="6"/>
      <c r="T49" s="6"/>
      <c r="U49" s="6" t="s">
        <v>63</v>
      </c>
      <c r="V49" s="6" t="s">
        <v>39</v>
      </c>
      <c r="W49" s="6" t="s">
        <v>40</v>
      </c>
      <c r="X49" s="6" t="s">
        <v>41</v>
      </c>
      <c r="Y49" s="14" t="s">
        <v>2146</v>
      </c>
    </row>
    <row r="50" spans="1:25" x14ac:dyDescent="0.45">
      <c r="A50" s="6" t="s">
        <v>2043</v>
      </c>
      <c r="B50" s="6" t="s">
        <v>29</v>
      </c>
      <c r="C50" s="6" t="s">
        <v>234</v>
      </c>
      <c r="D50" s="6" t="s">
        <v>2044</v>
      </c>
      <c r="E50" s="6" t="s">
        <v>2045</v>
      </c>
      <c r="F50" s="6" t="s">
        <v>31</v>
      </c>
      <c r="G50" s="6" t="s">
        <v>469</v>
      </c>
      <c r="H50" s="6"/>
      <c r="I50" s="6" t="s">
        <v>1536</v>
      </c>
      <c r="J50" s="6" t="s">
        <v>70</v>
      </c>
      <c r="K50" s="6"/>
      <c r="L50" s="6"/>
      <c r="M50" s="6" t="s">
        <v>70</v>
      </c>
      <c r="N50" s="6" t="s">
        <v>59</v>
      </c>
      <c r="O50" s="6" t="s">
        <v>72</v>
      </c>
      <c r="P50" s="6" t="s">
        <v>410</v>
      </c>
      <c r="Q50" s="6" t="s">
        <v>2046</v>
      </c>
      <c r="R50" s="6" t="s">
        <v>35</v>
      </c>
      <c r="S50" s="6" t="s">
        <v>128</v>
      </c>
      <c r="T50" s="6"/>
      <c r="U50" s="6" t="s">
        <v>63</v>
      </c>
      <c r="V50" s="6" t="s">
        <v>39</v>
      </c>
      <c r="W50" s="6" t="s">
        <v>40</v>
      </c>
      <c r="X50" s="6" t="s">
        <v>41</v>
      </c>
      <c r="Y50" s="14" t="s">
        <v>2147</v>
      </c>
    </row>
    <row r="51" spans="1:25" x14ac:dyDescent="0.45">
      <c r="A51" s="6" t="s">
        <v>2048</v>
      </c>
      <c r="B51" s="6" t="s">
        <v>29</v>
      </c>
      <c r="C51" s="6"/>
      <c r="D51" s="6" t="s">
        <v>273</v>
      </c>
      <c r="E51" s="6" t="s">
        <v>2049</v>
      </c>
      <c r="F51" s="6" t="s">
        <v>31</v>
      </c>
      <c r="G51" s="6" t="s">
        <v>55</v>
      </c>
      <c r="H51" s="6" t="s">
        <v>98</v>
      </c>
      <c r="I51" s="6"/>
      <c r="J51" s="6"/>
      <c r="K51" s="6"/>
      <c r="L51" s="6"/>
      <c r="M51" s="6"/>
      <c r="N51" s="6"/>
      <c r="O51" s="6" t="s">
        <v>32</v>
      </c>
      <c r="P51" s="6" t="s">
        <v>111</v>
      </c>
      <c r="Q51" s="6" t="s">
        <v>2050</v>
      </c>
      <c r="R51" s="6" t="s">
        <v>35</v>
      </c>
      <c r="S51" s="6"/>
      <c r="T51" s="6"/>
      <c r="U51" s="6" t="s">
        <v>63</v>
      </c>
      <c r="V51" s="6" t="s">
        <v>39</v>
      </c>
      <c r="W51" s="6" t="s">
        <v>40</v>
      </c>
      <c r="X51" s="6" t="s">
        <v>41</v>
      </c>
      <c r="Y51" s="14" t="s">
        <v>2148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D4CCF-5D7A-4A1E-B51E-6B67ADD883C6}">
  <dimension ref="A1:C50"/>
  <sheetViews>
    <sheetView workbookViewId="0">
      <selection activeCell="D48" sqref="D48"/>
    </sheetView>
  </sheetViews>
  <sheetFormatPr defaultRowHeight="14.25" x14ac:dyDescent="0.45"/>
  <sheetData>
    <row r="1" spans="1:3" x14ac:dyDescent="0.45">
      <c r="A1" t="s">
        <v>311</v>
      </c>
      <c r="C1">
        <f>COUNTIF(Firms!$A$2:$A$473,Sheet1!A1)</f>
        <v>1</v>
      </c>
    </row>
    <row r="2" spans="1:3" x14ac:dyDescent="0.45">
      <c r="A2" t="s">
        <v>1085</v>
      </c>
      <c r="C2">
        <f>COUNTIF(Firms!$A$2:$A$473,Sheet1!A2)</f>
        <v>1</v>
      </c>
    </row>
    <row r="3" spans="1:3" x14ac:dyDescent="0.45">
      <c r="A3" t="s">
        <v>382</v>
      </c>
      <c r="C3">
        <f>COUNTIF(Firms!$A$2:$A$473,Sheet1!A3)</f>
        <v>1</v>
      </c>
    </row>
    <row r="4" spans="1:3" x14ac:dyDescent="0.45">
      <c r="A4" t="s">
        <v>184</v>
      </c>
      <c r="C4">
        <f>COUNTIF(Firms!$A$2:$A$473,Sheet1!A4)</f>
        <v>1</v>
      </c>
    </row>
    <row r="5" spans="1:3" x14ac:dyDescent="0.45">
      <c r="A5" t="s">
        <v>1830</v>
      </c>
      <c r="C5">
        <f>COUNTIF(Firms!$A$2:$A$473,Sheet1!A5)</f>
        <v>1</v>
      </c>
    </row>
    <row r="6" spans="1:3" x14ac:dyDescent="0.45">
      <c r="A6" t="s">
        <v>1784</v>
      </c>
      <c r="C6">
        <f>COUNTIF(Firms!$A$2:$A$473,Sheet1!A6)</f>
        <v>1</v>
      </c>
    </row>
    <row r="7" spans="1:3" x14ac:dyDescent="0.45">
      <c r="A7" t="s">
        <v>789</v>
      </c>
      <c r="C7">
        <f>COUNTIF(Firms!$A$2:$A$473,Sheet1!A7)</f>
        <v>1</v>
      </c>
    </row>
    <row r="8" spans="1:3" x14ac:dyDescent="0.45">
      <c r="A8" t="s">
        <v>1867</v>
      </c>
      <c r="C8">
        <f>COUNTIF(Firms!$A$2:$A$473,Sheet1!A8)</f>
        <v>1</v>
      </c>
    </row>
    <row r="9" spans="1:3" x14ac:dyDescent="0.45">
      <c r="A9" t="s">
        <v>584</v>
      </c>
      <c r="C9">
        <f>COUNTIF(Firms!$A$2:$A$473,Sheet1!A9)</f>
        <v>1</v>
      </c>
    </row>
    <row r="10" spans="1:3" x14ac:dyDescent="0.45">
      <c r="A10" t="s">
        <v>492</v>
      </c>
      <c r="C10">
        <f>COUNTIF(Firms!$A$2:$A$473,Sheet1!A10)</f>
        <v>1</v>
      </c>
    </row>
    <row r="11" spans="1:3" x14ac:dyDescent="0.45">
      <c r="A11" t="s">
        <v>50</v>
      </c>
      <c r="C11">
        <f>COUNTIF(Firms!$A$2:$A$473,Sheet1!A11)</f>
        <v>1</v>
      </c>
    </row>
    <row r="12" spans="1:3" x14ac:dyDescent="0.45">
      <c r="A12" t="s">
        <v>131</v>
      </c>
      <c r="C12">
        <f>COUNTIF(Firms!$A$2:$A$473,Sheet1!A12)</f>
        <v>1</v>
      </c>
    </row>
    <row r="13" spans="1:3" x14ac:dyDescent="0.45">
      <c r="A13" t="s">
        <v>256</v>
      </c>
      <c r="C13">
        <f>COUNTIF(Firms!$A$2:$A$473,Sheet1!A13)</f>
        <v>1</v>
      </c>
    </row>
    <row r="14" spans="1:3" x14ac:dyDescent="0.45">
      <c r="A14" t="s">
        <v>387</v>
      </c>
      <c r="C14">
        <f>COUNTIF(Firms!$A$2:$A$473,Sheet1!A14)</f>
        <v>1</v>
      </c>
    </row>
    <row r="15" spans="1:3" x14ac:dyDescent="0.45">
      <c r="A15" t="s">
        <v>408</v>
      </c>
      <c r="C15">
        <f>COUNTIF(Firms!$A$2:$A$473,Sheet1!A15)</f>
        <v>1</v>
      </c>
    </row>
    <row r="16" spans="1:3" x14ac:dyDescent="0.45">
      <c r="A16" t="s">
        <v>677</v>
      </c>
      <c r="C16">
        <f>COUNTIF(Firms!$A$2:$A$473,Sheet1!A16)</f>
        <v>1</v>
      </c>
    </row>
    <row r="17" spans="1:3" x14ac:dyDescent="0.45">
      <c r="A17" t="s">
        <v>871</v>
      </c>
      <c r="C17">
        <f>COUNTIF(Firms!$A$2:$A$473,Sheet1!A17)</f>
        <v>1</v>
      </c>
    </row>
    <row r="18" spans="1:3" x14ac:dyDescent="0.45">
      <c r="A18" t="s">
        <v>944</v>
      </c>
      <c r="C18">
        <f>COUNTIF(Firms!$A$2:$A$473,Sheet1!A18)</f>
        <v>1</v>
      </c>
    </row>
    <row r="19" spans="1:3" x14ac:dyDescent="0.45">
      <c r="A19" t="s">
        <v>962</v>
      </c>
      <c r="C19">
        <f>COUNTIF(Firms!$A$2:$A$473,Sheet1!A19)</f>
        <v>1</v>
      </c>
    </row>
    <row r="20" spans="1:3" x14ac:dyDescent="0.45">
      <c r="A20" t="s">
        <v>1027</v>
      </c>
      <c r="C20">
        <f>COUNTIF(Firms!$A$2:$A$473,Sheet1!A20)</f>
        <v>1</v>
      </c>
    </row>
    <row r="21" spans="1:3" x14ac:dyDescent="0.45">
      <c r="A21" t="s">
        <v>1329</v>
      </c>
      <c r="C21">
        <f>COUNTIF(Firms!$A$2:$A$473,Sheet1!A21)</f>
        <v>1</v>
      </c>
    </row>
    <row r="22" spans="1:3" x14ac:dyDescent="0.45">
      <c r="A22" t="s">
        <v>1356</v>
      </c>
      <c r="C22">
        <f>COUNTIF(Firms!$A$2:$A$473,Sheet1!A22)</f>
        <v>1</v>
      </c>
    </row>
    <row r="23" spans="1:3" x14ac:dyDescent="0.45">
      <c r="A23" t="s">
        <v>1450</v>
      </c>
      <c r="C23">
        <f>COUNTIF(Firms!$A$2:$A$473,Sheet1!A23)</f>
        <v>1</v>
      </c>
    </row>
    <row r="24" spans="1:3" x14ac:dyDescent="0.45">
      <c r="A24" t="s">
        <v>1647</v>
      </c>
      <c r="C24">
        <f>COUNTIF(Firms!$A$2:$A$473,Sheet1!A24)</f>
        <v>1</v>
      </c>
    </row>
    <row r="25" spans="1:3" x14ac:dyDescent="0.45">
      <c r="A25" t="s">
        <v>1718</v>
      </c>
      <c r="C25">
        <f>COUNTIF(Firms!$A$2:$A$473,Sheet1!A25)</f>
        <v>1</v>
      </c>
    </row>
    <row r="26" spans="1:3" x14ac:dyDescent="0.45">
      <c r="A26" t="s">
        <v>1795</v>
      </c>
      <c r="C26">
        <f>COUNTIF(Firms!$A$2:$A$473,Sheet1!A26)</f>
        <v>1</v>
      </c>
    </row>
    <row r="27" spans="1:3" x14ac:dyDescent="0.45">
      <c r="A27" t="s">
        <v>1922</v>
      </c>
      <c r="C27">
        <f>COUNTIF(Firms!$A$2:$A$473,Sheet1!A27)</f>
        <v>1</v>
      </c>
    </row>
    <row r="28" spans="1:3" x14ac:dyDescent="0.45">
      <c r="A28" t="s">
        <v>2040</v>
      </c>
      <c r="C28">
        <f>COUNTIF(Firms!$A$2:$A$473,Sheet1!A28)</f>
        <v>1</v>
      </c>
    </row>
    <row r="29" spans="1:3" x14ac:dyDescent="0.45">
      <c r="A29" t="s">
        <v>2043</v>
      </c>
      <c r="C29">
        <f>COUNTIF(Firms!$A$2:$A$473,Sheet1!A29)</f>
        <v>1</v>
      </c>
    </row>
    <row r="30" spans="1:3" x14ac:dyDescent="0.45">
      <c r="A30" t="s">
        <v>2048</v>
      </c>
      <c r="C30">
        <f>COUNTIF(Firms!$A$2:$A$473,Sheet1!A30)</f>
        <v>1</v>
      </c>
    </row>
    <row r="31" spans="1:3" x14ac:dyDescent="0.45">
      <c r="A31" t="s">
        <v>123</v>
      </c>
      <c r="C31">
        <f>COUNTIF(Firms!$A$2:$A$473,Sheet1!A31)</f>
        <v>1</v>
      </c>
    </row>
    <row r="32" spans="1:3" x14ac:dyDescent="0.45">
      <c r="A32" t="s">
        <v>161</v>
      </c>
      <c r="C32">
        <f>COUNTIF(Firms!$A$2:$A$473,Sheet1!A32)</f>
        <v>1</v>
      </c>
    </row>
    <row r="33" spans="1:3" x14ac:dyDescent="0.45">
      <c r="A33" t="s">
        <v>170</v>
      </c>
      <c r="C33">
        <f>COUNTIF(Firms!$A$2:$A$473,Sheet1!A33)</f>
        <v>1</v>
      </c>
    </row>
    <row r="34" spans="1:3" x14ac:dyDescent="0.45">
      <c r="A34" t="s">
        <v>271</v>
      </c>
      <c r="C34">
        <f>COUNTIF(Firms!$A$2:$A$473,Sheet1!A34)</f>
        <v>1</v>
      </c>
    </row>
    <row r="35" spans="1:3" x14ac:dyDescent="0.45">
      <c r="A35" t="s">
        <v>276</v>
      </c>
      <c r="C35">
        <f>COUNTIF(Firms!$A$2:$A$473,Sheet1!A35)</f>
        <v>1</v>
      </c>
    </row>
    <row r="36" spans="1:3" x14ac:dyDescent="0.45">
      <c r="A36" t="s">
        <v>321</v>
      </c>
      <c r="C36">
        <f>COUNTIF(Firms!$A$2:$A$473,Sheet1!A36)</f>
        <v>1</v>
      </c>
    </row>
    <row r="37" spans="1:3" x14ac:dyDescent="0.45">
      <c r="A37" t="s">
        <v>570</v>
      </c>
      <c r="C37">
        <f>COUNTIF(Firms!$A$2:$A$473,Sheet1!A37)</f>
        <v>1</v>
      </c>
    </row>
    <row r="38" spans="1:3" x14ac:dyDescent="0.45">
      <c r="A38" t="s">
        <v>608</v>
      </c>
      <c r="C38">
        <f>COUNTIF(Firms!$A$2:$A$473,Sheet1!A38)</f>
        <v>1</v>
      </c>
    </row>
    <row r="39" spans="1:3" x14ac:dyDescent="0.45">
      <c r="A39" t="s">
        <v>640</v>
      </c>
      <c r="C39">
        <f>COUNTIF(Firms!$A$2:$A$473,Sheet1!A39)</f>
        <v>1</v>
      </c>
    </row>
    <row r="40" spans="1:3" x14ac:dyDescent="0.45">
      <c r="A40" t="s">
        <v>822</v>
      </c>
      <c r="C40">
        <f>COUNTIF(Firms!$A$2:$A$473,Sheet1!A40)</f>
        <v>1</v>
      </c>
    </row>
    <row r="41" spans="1:3" x14ac:dyDescent="0.45">
      <c r="A41" t="s">
        <v>1148</v>
      </c>
      <c r="C41">
        <f>COUNTIF(Firms!$A$2:$A$473,Sheet1!A41)</f>
        <v>1</v>
      </c>
    </row>
    <row r="42" spans="1:3" x14ac:dyDescent="0.45">
      <c r="A42" t="s">
        <v>1239</v>
      </c>
      <c r="C42">
        <f>COUNTIF(Firms!$A$2:$A$473,Sheet1!A42)</f>
        <v>1</v>
      </c>
    </row>
    <row r="43" spans="1:3" x14ac:dyDescent="0.45">
      <c r="A43" t="s">
        <v>1380</v>
      </c>
      <c r="C43">
        <f>COUNTIF(Firms!$A$2:$A$473,Sheet1!A43)</f>
        <v>1</v>
      </c>
    </row>
    <row r="44" spans="1:3" x14ac:dyDescent="0.45">
      <c r="A44" t="s">
        <v>1685</v>
      </c>
      <c r="C44">
        <f>COUNTIF(Firms!$A$2:$A$473,Sheet1!A44)</f>
        <v>1</v>
      </c>
    </row>
    <row r="45" spans="1:3" x14ac:dyDescent="0.45">
      <c r="A45" t="s">
        <v>452</v>
      </c>
      <c r="C45">
        <f>COUNTIF(Firms!$A$2:$A$473,Sheet1!A45)</f>
        <v>1</v>
      </c>
    </row>
    <row r="46" spans="1:3" x14ac:dyDescent="0.45">
      <c r="A46" t="s">
        <v>637</v>
      </c>
      <c r="C46">
        <f>COUNTIF(Firms!$A$2:$A$473,Sheet1!A46)</f>
        <v>1</v>
      </c>
    </row>
    <row r="47" spans="1:3" x14ac:dyDescent="0.45">
      <c r="A47" t="s">
        <v>1993</v>
      </c>
      <c r="C47">
        <f>COUNTIF(Firms!$A$2:$A$473,Sheet1!A47)</f>
        <v>1</v>
      </c>
    </row>
    <row r="48" spans="1:3" x14ac:dyDescent="0.45">
      <c r="A48" t="s">
        <v>1482</v>
      </c>
      <c r="C48">
        <f>COUNTIF(Firms!$A$2:$A$473,Sheet1!A48)</f>
        <v>1</v>
      </c>
    </row>
    <row r="49" spans="1:3" x14ac:dyDescent="0.45">
      <c r="A49" s="6" t="s">
        <v>898</v>
      </c>
      <c r="C49">
        <f>COUNTIF(Firms!$A$2:$A$473,Sheet1!A49)</f>
        <v>1</v>
      </c>
    </row>
    <row r="50" spans="1:3" x14ac:dyDescent="0.45">
      <c r="A50" t="s">
        <v>77</v>
      </c>
      <c r="C50">
        <f>COUNTIF(Firms!$A$2:$A$473,Sheet1!A50)</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25" x14ac:dyDescent="0.45"/>
  <cols>
    <col min="1" max="2" width="20" customWidth="1"/>
  </cols>
  <sheetData>
    <row r="1" spans="1:2" ht="17.649999999999999" x14ac:dyDescent="0.5">
      <c r="A1" s="10" t="s">
        <v>2089</v>
      </c>
    </row>
    <row r="3" spans="1:2" x14ac:dyDescent="0.45">
      <c r="A3" s="11" t="s">
        <v>2090</v>
      </c>
      <c r="B3" s="12" t="s">
        <v>2091</v>
      </c>
    </row>
    <row r="4" spans="1:2" x14ac:dyDescent="0.45">
      <c r="A4" s="11" t="s">
        <v>2092</v>
      </c>
      <c r="B4" s="12">
        <v>472</v>
      </c>
    </row>
    <row r="5" spans="1:2" x14ac:dyDescent="0.45">
      <c r="A5" s="11" t="s">
        <v>2093</v>
      </c>
      <c r="B5" s="12">
        <v>456</v>
      </c>
    </row>
    <row r="6" spans="1:2" x14ac:dyDescent="0.45">
      <c r="A6" s="11" t="s">
        <v>2094</v>
      </c>
      <c r="B6" s="12">
        <v>0</v>
      </c>
    </row>
    <row r="7" spans="1:2" x14ac:dyDescent="0.45">
      <c r="A7" s="11" t="s">
        <v>24</v>
      </c>
      <c r="B7" s="12">
        <v>138</v>
      </c>
    </row>
    <row r="8" spans="1:2" x14ac:dyDescent="0.45">
      <c r="A8" s="11" t="s">
        <v>2095</v>
      </c>
      <c r="B8" s="12">
        <v>141</v>
      </c>
    </row>
    <row r="9" spans="1:2" x14ac:dyDescent="0.45">
      <c r="A9" s="11" t="s">
        <v>2096</v>
      </c>
      <c r="B9" s="12">
        <v>203</v>
      </c>
    </row>
    <row r="10" spans="1:2" x14ac:dyDescent="0.45">
      <c r="A10" s="11" t="s">
        <v>2097</v>
      </c>
      <c r="B10" s="12">
        <v>128</v>
      </c>
    </row>
    <row r="11" spans="1:2" x14ac:dyDescent="0.45">
      <c r="A11" s="11" t="s">
        <v>2098</v>
      </c>
      <c r="B11" s="12">
        <v>430</v>
      </c>
    </row>
    <row r="12" spans="1:2" x14ac:dyDescent="0.45">
      <c r="A12" s="11" t="s">
        <v>2099</v>
      </c>
      <c r="B12" s="12">
        <v>5</v>
      </c>
    </row>
    <row r="13" spans="1:2" x14ac:dyDescent="0.45">
      <c r="A13" s="11" t="s">
        <v>2100</v>
      </c>
      <c r="B13" s="1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Firms</vt:lpstr>
      <vt:lpstr>Sheet2</vt:lpstr>
      <vt:lpstr>Sheet1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Mason Fairfield</cp:lastModifiedBy>
  <dcterms:created xsi:type="dcterms:W3CDTF">2026-06-08T02:11:49Z</dcterms:created>
  <dcterms:modified xsi:type="dcterms:W3CDTF">2026-06-09T02:21:02Z</dcterms:modified>
</cp:coreProperties>
</file>